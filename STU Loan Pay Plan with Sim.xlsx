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amoyeA\Desktop\Budeting App\"/>
    </mc:Choice>
  </mc:AlternateContent>
  <xr:revisionPtr revIDLastSave="0" documentId="13_ncr:1_{EEE2877B-28F6-463D-8266-4B92C80E4C89}" xr6:coauthVersionLast="47" xr6:coauthVersionMax="47" xr10:uidLastSave="{00000000-0000-0000-0000-000000000000}"/>
  <bookViews>
    <workbookView xWindow="-108" yWindow="-108" windowWidth="23256" windowHeight="13896" tabRatio="639" xr2:uid="{1941C897-BADD-464C-ACCE-F6ACB69610BA}"/>
  </bookViews>
  <sheets>
    <sheet name="Budget" sheetId="7" r:id="rId1"/>
    <sheet name="Detailed Monthy Sim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4" i="14" l="1"/>
  <c r="Z413" i="14"/>
  <c r="Y413" i="14"/>
  <c r="X413" i="14"/>
  <c r="W413" i="14"/>
  <c r="V413" i="14"/>
  <c r="U413" i="14"/>
  <c r="T413" i="14"/>
  <c r="S413" i="14"/>
  <c r="R413" i="14"/>
  <c r="Q413" i="14"/>
  <c r="O413" i="14"/>
  <c r="N413" i="14"/>
  <c r="M413" i="14"/>
  <c r="L413" i="14"/>
  <c r="K413" i="14"/>
  <c r="J413" i="14"/>
  <c r="I413" i="14"/>
  <c r="H413" i="14"/>
  <c r="G413" i="14"/>
  <c r="F413" i="14"/>
  <c r="E413" i="14"/>
  <c r="N412" i="14"/>
  <c r="F10" i="7"/>
  <c r="B364" i="14"/>
  <c r="B352" i="14"/>
  <c r="D334" i="14"/>
  <c r="B332" i="14"/>
  <c r="B328" i="14"/>
  <c r="F3" i="7"/>
  <c r="B284" i="14"/>
  <c r="D194" i="14"/>
  <c r="B187" i="14"/>
  <c r="F173" i="14"/>
  <c r="B168" i="14"/>
  <c r="B61" i="14"/>
  <c r="B45" i="14"/>
  <c r="F7" i="7"/>
  <c r="D9" i="14"/>
  <c r="B8" i="14"/>
  <c r="B7" i="14"/>
  <c r="Q2" i="14"/>
  <c r="R2" i="14"/>
  <c r="S2" i="14"/>
  <c r="Q36" i="14"/>
  <c r="R36" i="14"/>
  <c r="S36" i="14"/>
  <c r="Q68" i="14"/>
  <c r="R68" i="14"/>
  <c r="S68" i="14"/>
  <c r="Q103" i="14"/>
  <c r="R103" i="14"/>
  <c r="S103" i="14"/>
  <c r="Q137" i="14"/>
  <c r="R137" i="14"/>
  <c r="S137" i="14"/>
  <c r="Q172" i="14"/>
  <c r="R172" i="14"/>
  <c r="S172" i="14"/>
  <c r="Q206" i="14"/>
  <c r="R206" i="14"/>
  <c r="S206" i="14"/>
  <c r="Q241" i="14"/>
  <c r="R241" i="14"/>
  <c r="S241" i="14"/>
  <c r="Q276" i="14"/>
  <c r="R276" i="14"/>
  <c r="S276" i="14"/>
  <c r="Q310" i="14"/>
  <c r="R310" i="14"/>
  <c r="S310" i="14"/>
  <c r="Q345" i="14"/>
  <c r="R345" i="14"/>
  <c r="S345" i="14"/>
  <c r="Q379" i="14"/>
  <c r="R379" i="14"/>
  <c r="S379" i="14"/>
  <c r="T2" i="14"/>
  <c r="U2" i="14"/>
  <c r="V2" i="14"/>
  <c r="W2" i="14"/>
  <c r="X2" i="14"/>
  <c r="Y2" i="14"/>
  <c r="Z2" i="14"/>
  <c r="K6" i="7"/>
  <c r="N378" i="14" l="1"/>
  <c r="N344" i="14"/>
  <c r="N309" i="14"/>
  <c r="N275" i="14"/>
  <c r="N240" i="14"/>
  <c r="N205" i="14"/>
  <c r="N171" i="14"/>
  <c r="N136" i="14"/>
  <c r="N102" i="14"/>
  <c r="N67" i="14"/>
  <c r="N35" i="14"/>
  <c r="N1" i="14"/>
  <c r="M379" i="14"/>
  <c r="M345" i="14"/>
  <c r="M310" i="14"/>
  <c r="M276" i="14"/>
  <c r="M241" i="14"/>
  <c r="M206" i="14"/>
  <c r="M172" i="14"/>
  <c r="M137" i="14"/>
  <c r="M103" i="14"/>
  <c r="M68" i="14"/>
  <c r="M36" i="14"/>
  <c r="M2" i="14"/>
  <c r="Z379" i="14"/>
  <c r="Y379" i="14"/>
  <c r="X379" i="14"/>
  <c r="W379" i="14"/>
  <c r="V379" i="14"/>
  <c r="U379" i="14"/>
  <c r="T379" i="14"/>
  <c r="O379" i="14"/>
  <c r="N379" i="14"/>
  <c r="L379" i="14"/>
  <c r="K379" i="14"/>
  <c r="J379" i="14"/>
  <c r="I379" i="14"/>
  <c r="H379" i="14"/>
  <c r="G379" i="14"/>
  <c r="F379" i="14"/>
  <c r="E379" i="14"/>
  <c r="Z345" i="14"/>
  <c r="Y345" i="14"/>
  <c r="X345" i="14"/>
  <c r="W345" i="14"/>
  <c r="V345" i="14"/>
  <c r="U345" i="14"/>
  <c r="T345" i="14"/>
  <c r="O345" i="14"/>
  <c r="N345" i="14"/>
  <c r="L345" i="14"/>
  <c r="K345" i="14"/>
  <c r="J345" i="14"/>
  <c r="I345" i="14"/>
  <c r="H345" i="14"/>
  <c r="G345" i="14"/>
  <c r="F345" i="14"/>
  <c r="E345" i="14"/>
  <c r="Z310" i="14"/>
  <c r="Y310" i="14"/>
  <c r="X310" i="14"/>
  <c r="W310" i="14"/>
  <c r="V310" i="14"/>
  <c r="U310" i="14"/>
  <c r="T310" i="14"/>
  <c r="O310" i="14"/>
  <c r="N310" i="14"/>
  <c r="L310" i="14"/>
  <c r="K310" i="14"/>
  <c r="J310" i="14"/>
  <c r="I310" i="14"/>
  <c r="H310" i="14"/>
  <c r="G310" i="14"/>
  <c r="F310" i="14"/>
  <c r="E310" i="14"/>
  <c r="Z276" i="14"/>
  <c r="Y276" i="14"/>
  <c r="X276" i="14"/>
  <c r="W276" i="14"/>
  <c r="V276" i="14"/>
  <c r="U276" i="14"/>
  <c r="T276" i="14"/>
  <c r="O276" i="14"/>
  <c r="N276" i="14"/>
  <c r="L276" i="14"/>
  <c r="K276" i="14"/>
  <c r="J276" i="14"/>
  <c r="I276" i="14"/>
  <c r="H276" i="14"/>
  <c r="G276" i="14"/>
  <c r="F276" i="14"/>
  <c r="E276" i="14"/>
  <c r="Z241" i="14"/>
  <c r="Y241" i="14"/>
  <c r="X241" i="14"/>
  <c r="W241" i="14"/>
  <c r="V241" i="14"/>
  <c r="U241" i="14"/>
  <c r="T241" i="14"/>
  <c r="O241" i="14"/>
  <c r="N241" i="14"/>
  <c r="L241" i="14"/>
  <c r="K241" i="14"/>
  <c r="J241" i="14"/>
  <c r="I241" i="14"/>
  <c r="H241" i="14"/>
  <c r="G241" i="14"/>
  <c r="F241" i="14"/>
  <c r="E241" i="14"/>
  <c r="Z206" i="14"/>
  <c r="Y206" i="14"/>
  <c r="X206" i="14"/>
  <c r="W206" i="14"/>
  <c r="V206" i="14"/>
  <c r="U206" i="14"/>
  <c r="T206" i="14"/>
  <c r="O206" i="14"/>
  <c r="N206" i="14"/>
  <c r="L206" i="14"/>
  <c r="K206" i="14"/>
  <c r="J206" i="14"/>
  <c r="I206" i="14"/>
  <c r="H206" i="14"/>
  <c r="G206" i="14"/>
  <c r="F206" i="14"/>
  <c r="E206" i="14"/>
  <c r="Z172" i="14"/>
  <c r="Y172" i="14"/>
  <c r="X172" i="14"/>
  <c r="W172" i="14"/>
  <c r="V172" i="14"/>
  <c r="U172" i="14"/>
  <c r="T172" i="14"/>
  <c r="O172" i="14"/>
  <c r="N172" i="14"/>
  <c r="L172" i="14"/>
  <c r="K172" i="14"/>
  <c r="J172" i="14"/>
  <c r="I172" i="14"/>
  <c r="H172" i="14"/>
  <c r="G172" i="14"/>
  <c r="F172" i="14"/>
  <c r="E172" i="14"/>
  <c r="Z137" i="14"/>
  <c r="Y137" i="14"/>
  <c r="X137" i="14"/>
  <c r="W137" i="14"/>
  <c r="V137" i="14"/>
  <c r="U137" i="14"/>
  <c r="T137" i="14"/>
  <c r="O137" i="14"/>
  <c r="N137" i="14"/>
  <c r="L137" i="14"/>
  <c r="K137" i="14"/>
  <c r="J137" i="14"/>
  <c r="I137" i="14"/>
  <c r="H137" i="14"/>
  <c r="G137" i="14"/>
  <c r="F137" i="14"/>
  <c r="E137" i="14"/>
  <c r="Z103" i="14"/>
  <c r="Y103" i="14"/>
  <c r="X103" i="14"/>
  <c r="W103" i="14"/>
  <c r="V103" i="14"/>
  <c r="U103" i="14"/>
  <c r="T103" i="14"/>
  <c r="O103" i="14"/>
  <c r="N103" i="14"/>
  <c r="L103" i="14"/>
  <c r="K103" i="14"/>
  <c r="J103" i="14"/>
  <c r="I103" i="14"/>
  <c r="H103" i="14"/>
  <c r="G103" i="14"/>
  <c r="F103" i="14"/>
  <c r="E103" i="14"/>
  <c r="Z68" i="14"/>
  <c r="Y68" i="14"/>
  <c r="X68" i="14"/>
  <c r="W68" i="14"/>
  <c r="V68" i="14"/>
  <c r="U68" i="14"/>
  <c r="T68" i="14"/>
  <c r="O68" i="14"/>
  <c r="N68" i="14"/>
  <c r="L68" i="14"/>
  <c r="K68" i="14"/>
  <c r="J68" i="14"/>
  <c r="I68" i="14"/>
  <c r="H68" i="14"/>
  <c r="G68" i="14"/>
  <c r="F68" i="14"/>
  <c r="E68" i="14"/>
  <c r="Z36" i="14"/>
  <c r="Y36" i="14"/>
  <c r="X36" i="14"/>
  <c r="W36" i="14"/>
  <c r="V36" i="14"/>
  <c r="U36" i="14"/>
  <c r="T36" i="14"/>
  <c r="O36" i="14"/>
  <c r="N36" i="14"/>
  <c r="L36" i="14"/>
  <c r="K36" i="14"/>
  <c r="J36" i="14"/>
  <c r="I36" i="14"/>
  <c r="H36" i="14"/>
  <c r="G36" i="14"/>
  <c r="F36" i="14"/>
  <c r="E36" i="14"/>
  <c r="O2" i="14"/>
  <c r="N2" i="14"/>
  <c r="L2" i="14"/>
  <c r="K2" i="14"/>
  <c r="J2" i="14"/>
  <c r="I2" i="14"/>
  <c r="H2" i="14"/>
  <c r="G2" i="14"/>
  <c r="F2" i="14"/>
  <c r="E2" i="14"/>
  <c r="F6" i="7"/>
  <c r="A3" i="14" l="1"/>
  <c r="O3" i="14" l="1"/>
  <c r="N3" i="14"/>
  <c r="F3" i="14"/>
  <c r="Q3" i="14"/>
  <c r="R3" i="14"/>
  <c r="S3" i="14"/>
  <c r="V3" i="14"/>
  <c r="Y3" i="14"/>
  <c r="Z3" i="14"/>
  <c r="W3" i="14"/>
  <c r="X3" i="14"/>
  <c r="T3" i="14"/>
  <c r="U3" i="14"/>
  <c r="M3" i="14"/>
  <c r="H3" i="14"/>
  <c r="K3" i="14"/>
  <c r="E3" i="14"/>
  <c r="G3" i="14"/>
  <c r="J3" i="14"/>
  <c r="L3" i="14"/>
  <c r="A4" i="14"/>
  <c r="I3" i="14"/>
  <c r="A36" i="14"/>
  <c r="Q4" i="14" l="1"/>
  <c r="S4" i="14"/>
  <c r="R4" i="14"/>
  <c r="U4" i="14"/>
  <c r="V4" i="14"/>
  <c r="X4" i="14"/>
  <c r="T4" i="14"/>
  <c r="Y4" i="14"/>
  <c r="Z4" i="14"/>
  <c r="W4" i="14"/>
  <c r="AA3" i="14"/>
  <c r="G4" i="14"/>
  <c r="N4" i="14"/>
  <c r="O4" i="14"/>
  <c r="M4" i="14"/>
  <c r="H4" i="14"/>
  <c r="L4" i="14"/>
  <c r="J4" i="14"/>
  <c r="K4" i="14"/>
  <c r="A5" i="14"/>
  <c r="F4" i="14"/>
  <c r="E4" i="14"/>
  <c r="I4" i="14"/>
  <c r="A37" i="14"/>
  <c r="A68" i="14"/>
  <c r="Q37" i="14" l="1"/>
  <c r="S37" i="14"/>
  <c r="R37" i="14"/>
  <c r="Q5" i="14"/>
  <c r="S5" i="14"/>
  <c r="R5" i="14"/>
  <c r="AA4" i="14"/>
  <c r="O37" i="14"/>
  <c r="N37" i="14"/>
  <c r="G5" i="14"/>
  <c r="N5" i="14"/>
  <c r="O5" i="14"/>
  <c r="M37" i="14"/>
  <c r="G37" i="14"/>
  <c r="M5" i="14"/>
  <c r="V5" i="14"/>
  <c r="Z5" i="14"/>
  <c r="X5" i="14"/>
  <c r="I5" i="14"/>
  <c r="T5" i="14"/>
  <c r="F5" i="14"/>
  <c r="E5" i="14"/>
  <c r="A6" i="14"/>
  <c r="H5" i="14"/>
  <c r="J5" i="14"/>
  <c r="U5" i="14"/>
  <c r="W5" i="14"/>
  <c r="K5" i="14"/>
  <c r="Y5" i="14"/>
  <c r="L5" i="14"/>
  <c r="A103" i="14"/>
  <c r="A69" i="14"/>
  <c r="K37" i="14"/>
  <c r="W37" i="14"/>
  <c r="X37" i="14"/>
  <c r="H37" i="14"/>
  <c r="E37" i="14"/>
  <c r="J37" i="14"/>
  <c r="Y37" i="14"/>
  <c r="T37" i="14"/>
  <c r="A38" i="14"/>
  <c r="Z37" i="14"/>
  <c r="F37" i="14"/>
  <c r="L37" i="14"/>
  <c r="V37" i="14"/>
  <c r="I37" i="14"/>
  <c r="U37" i="14"/>
  <c r="Q38" i="14" l="1"/>
  <c r="S38" i="14"/>
  <c r="R38" i="14"/>
  <c r="Q6" i="14"/>
  <c r="S6" i="14"/>
  <c r="Q69" i="14"/>
  <c r="R69" i="14"/>
  <c r="S69" i="14"/>
  <c r="N38" i="14"/>
  <c r="O38" i="14"/>
  <c r="G6" i="14"/>
  <c r="N6" i="14"/>
  <c r="O6" i="14"/>
  <c r="O69" i="14"/>
  <c r="N69" i="14"/>
  <c r="M69" i="14"/>
  <c r="G69" i="14"/>
  <c r="M38" i="14"/>
  <c r="G38" i="14"/>
  <c r="M6" i="14"/>
  <c r="AA37" i="14"/>
  <c r="I6" i="14"/>
  <c r="H6" i="14"/>
  <c r="V6" i="14"/>
  <c r="F6" i="14"/>
  <c r="K6" i="14"/>
  <c r="L6" i="14"/>
  <c r="W6" i="14"/>
  <c r="J6" i="14"/>
  <c r="Z6" i="14"/>
  <c r="X6" i="14"/>
  <c r="T6" i="14"/>
  <c r="E6" i="14"/>
  <c r="Y6" i="14"/>
  <c r="A7" i="14"/>
  <c r="U6" i="14"/>
  <c r="AA5" i="14"/>
  <c r="T38" i="14"/>
  <c r="E38" i="14"/>
  <c r="W38" i="14"/>
  <c r="X38" i="14"/>
  <c r="U38" i="14"/>
  <c r="J38" i="14"/>
  <c r="L38" i="14"/>
  <c r="Z38" i="14"/>
  <c r="A39" i="14"/>
  <c r="I38" i="14"/>
  <c r="H38" i="14"/>
  <c r="V38" i="14"/>
  <c r="F38" i="14"/>
  <c r="K38" i="14"/>
  <c r="Y38" i="14"/>
  <c r="A104" i="14"/>
  <c r="A137" i="14"/>
  <c r="X69" i="14"/>
  <c r="I69" i="14"/>
  <c r="F69" i="14"/>
  <c r="T69" i="14"/>
  <c r="A70" i="14"/>
  <c r="Z69" i="14"/>
  <c r="H69" i="14"/>
  <c r="J69" i="14"/>
  <c r="U69" i="14"/>
  <c r="K69" i="14"/>
  <c r="E69" i="14"/>
  <c r="V69" i="14"/>
  <c r="L69" i="14"/>
  <c r="Y69" i="14"/>
  <c r="W69" i="14"/>
  <c r="Q104" i="14" l="1"/>
  <c r="S104" i="14"/>
  <c r="R104" i="14"/>
  <c r="Q7" i="14"/>
  <c r="S7" i="14"/>
  <c r="R7" i="14"/>
  <c r="Q39" i="14"/>
  <c r="S39" i="14"/>
  <c r="R39" i="14"/>
  <c r="Q70" i="14"/>
  <c r="R70" i="14"/>
  <c r="S70" i="14"/>
  <c r="N104" i="14"/>
  <c r="O104" i="14"/>
  <c r="O70" i="14"/>
  <c r="N70" i="14"/>
  <c r="G7" i="14"/>
  <c r="N7" i="14"/>
  <c r="O7" i="14"/>
  <c r="N39" i="14"/>
  <c r="O39" i="14"/>
  <c r="M39" i="14"/>
  <c r="G39" i="14"/>
  <c r="M104" i="14"/>
  <c r="G104" i="14"/>
  <c r="M70" i="14"/>
  <c r="G70" i="14"/>
  <c r="M7" i="14"/>
  <c r="AA38" i="14"/>
  <c r="A138" i="14"/>
  <c r="A172" i="14"/>
  <c r="W104" i="14"/>
  <c r="L104" i="14"/>
  <c r="Y104" i="14"/>
  <c r="E104" i="14"/>
  <c r="U104" i="14"/>
  <c r="T104" i="14"/>
  <c r="V104" i="14"/>
  <c r="X104" i="14"/>
  <c r="I104" i="14"/>
  <c r="Z104" i="14"/>
  <c r="K104" i="14"/>
  <c r="F104" i="14"/>
  <c r="A105" i="14"/>
  <c r="J104" i="14"/>
  <c r="H104" i="14"/>
  <c r="AA69" i="14"/>
  <c r="F7" i="14"/>
  <c r="L7" i="14"/>
  <c r="Y7" i="14"/>
  <c r="E7" i="14"/>
  <c r="H7" i="14"/>
  <c r="W7" i="14"/>
  <c r="I7" i="14"/>
  <c r="K7" i="14"/>
  <c r="X7" i="14"/>
  <c r="T7" i="14"/>
  <c r="Z7" i="14"/>
  <c r="J7" i="14"/>
  <c r="A8" i="14"/>
  <c r="V7" i="14"/>
  <c r="U7" i="14"/>
  <c r="I70" i="14"/>
  <c r="J70" i="14"/>
  <c r="U70" i="14"/>
  <c r="W70" i="14"/>
  <c r="T70" i="14"/>
  <c r="X70" i="14"/>
  <c r="E70" i="14"/>
  <c r="K70" i="14"/>
  <c r="F70" i="14"/>
  <c r="V70" i="14"/>
  <c r="Y70" i="14"/>
  <c r="L70" i="14"/>
  <c r="A71" i="14"/>
  <c r="Z70" i="14"/>
  <c r="H70" i="14"/>
  <c r="X39" i="14"/>
  <c r="T39" i="14"/>
  <c r="E39" i="14"/>
  <c r="Z39" i="14"/>
  <c r="K39" i="14"/>
  <c r="L39" i="14"/>
  <c r="U39" i="14"/>
  <c r="V39" i="14"/>
  <c r="J39" i="14"/>
  <c r="I39" i="14"/>
  <c r="F39" i="14"/>
  <c r="A40" i="14"/>
  <c r="Y39" i="14"/>
  <c r="H39" i="14"/>
  <c r="W39" i="14"/>
  <c r="AA6" i="14"/>
  <c r="Q105" i="14" l="1"/>
  <c r="R105" i="14"/>
  <c r="S105" i="14"/>
  <c r="Q138" i="14"/>
  <c r="R138" i="14"/>
  <c r="S138" i="14"/>
  <c r="Q71" i="14"/>
  <c r="S71" i="14"/>
  <c r="R71" i="14"/>
  <c r="Q40" i="14"/>
  <c r="R40" i="14"/>
  <c r="S40" i="14"/>
  <c r="Q8" i="14"/>
  <c r="R8" i="14"/>
  <c r="N40" i="14"/>
  <c r="O40" i="14"/>
  <c r="O71" i="14"/>
  <c r="N71" i="14"/>
  <c r="N138" i="14"/>
  <c r="O138" i="14"/>
  <c r="G8" i="14"/>
  <c r="N8" i="14"/>
  <c r="O8" i="14"/>
  <c r="O105" i="14"/>
  <c r="N105" i="14"/>
  <c r="M71" i="14"/>
  <c r="G71" i="14"/>
  <c r="M105" i="14"/>
  <c r="G105" i="14"/>
  <c r="M138" i="14"/>
  <c r="G138" i="14"/>
  <c r="M40" i="14"/>
  <c r="G40" i="14"/>
  <c r="M8" i="14"/>
  <c r="K71" i="14"/>
  <c r="Y71" i="14"/>
  <c r="T71" i="14"/>
  <c r="F71" i="14"/>
  <c r="E71" i="14"/>
  <c r="V71" i="14"/>
  <c r="W71" i="14"/>
  <c r="U71" i="14"/>
  <c r="A72" i="14"/>
  <c r="J71" i="14"/>
  <c r="L71" i="14"/>
  <c r="Z71" i="14"/>
  <c r="X71" i="14"/>
  <c r="H71" i="14"/>
  <c r="I71" i="14"/>
  <c r="A206" i="14"/>
  <c r="A173" i="14"/>
  <c r="E138" i="14"/>
  <c r="I138" i="14"/>
  <c r="J138" i="14"/>
  <c r="Z138" i="14"/>
  <c r="V138" i="14"/>
  <c r="T138" i="14"/>
  <c r="H138" i="14"/>
  <c r="F138" i="14"/>
  <c r="A139" i="14"/>
  <c r="L138" i="14"/>
  <c r="X138" i="14"/>
  <c r="Y138" i="14"/>
  <c r="U138" i="14"/>
  <c r="K138" i="14"/>
  <c r="W138" i="14"/>
  <c r="H40" i="14"/>
  <c r="F40" i="14"/>
  <c r="W40" i="14"/>
  <c r="V40" i="14"/>
  <c r="A41" i="14"/>
  <c r="K40" i="14"/>
  <c r="U40" i="14"/>
  <c r="E40" i="14"/>
  <c r="I40" i="14"/>
  <c r="T40" i="14"/>
  <c r="L40" i="14"/>
  <c r="Z40" i="14"/>
  <c r="Y40" i="14"/>
  <c r="J40" i="14"/>
  <c r="X40" i="14"/>
  <c r="I8" i="14"/>
  <c r="E8" i="14"/>
  <c r="W8" i="14"/>
  <c r="A9" i="14"/>
  <c r="X8" i="14"/>
  <c r="H8" i="14"/>
  <c r="L8" i="14"/>
  <c r="Z8" i="14"/>
  <c r="T8" i="14"/>
  <c r="J8" i="14"/>
  <c r="V8" i="14"/>
  <c r="K8" i="14"/>
  <c r="Y8" i="14"/>
  <c r="F8" i="14"/>
  <c r="U8" i="14"/>
  <c r="AA7" i="14"/>
  <c r="AA39" i="14"/>
  <c r="AA104" i="14"/>
  <c r="AA70" i="14"/>
  <c r="F105" i="14"/>
  <c r="U105" i="14"/>
  <c r="Z105" i="14"/>
  <c r="K105" i="14"/>
  <c r="L105" i="14"/>
  <c r="T105" i="14"/>
  <c r="I105" i="14"/>
  <c r="J105" i="14"/>
  <c r="Y105" i="14"/>
  <c r="X105" i="14"/>
  <c r="W105" i="14"/>
  <c r="E105" i="14"/>
  <c r="A106" i="14"/>
  <c r="H105" i="14"/>
  <c r="V105" i="14"/>
  <c r="Q139" i="14" l="1"/>
  <c r="S139" i="14"/>
  <c r="R139" i="14"/>
  <c r="Q173" i="14"/>
  <c r="R173" i="14"/>
  <c r="S173" i="14"/>
  <c r="Q41" i="14"/>
  <c r="R41" i="14"/>
  <c r="S41" i="14"/>
  <c r="Q72" i="14"/>
  <c r="S72" i="14"/>
  <c r="R72" i="14"/>
  <c r="Q106" i="14"/>
  <c r="S106" i="14"/>
  <c r="R106" i="14"/>
  <c r="Q9" i="14"/>
  <c r="R9" i="14"/>
  <c r="S9" i="14"/>
  <c r="N72" i="14"/>
  <c r="O72" i="14"/>
  <c r="N41" i="14"/>
  <c r="O41" i="14"/>
  <c r="G9" i="14"/>
  <c r="N9" i="14"/>
  <c r="O9" i="14"/>
  <c r="O106" i="14"/>
  <c r="N106" i="14"/>
  <c r="O139" i="14"/>
  <c r="N139" i="14"/>
  <c r="N173" i="14"/>
  <c r="O173" i="14"/>
  <c r="M139" i="14"/>
  <c r="G139" i="14"/>
  <c r="M41" i="14"/>
  <c r="G41" i="14"/>
  <c r="M72" i="14"/>
  <c r="G72" i="14"/>
  <c r="M106" i="14"/>
  <c r="G106" i="14"/>
  <c r="M173" i="14"/>
  <c r="G173" i="14"/>
  <c r="M9" i="14"/>
  <c r="W9" i="14"/>
  <c r="I9" i="14"/>
  <c r="Y9" i="14"/>
  <c r="L9" i="14"/>
  <c r="K9" i="14"/>
  <c r="J9" i="14"/>
  <c r="H9" i="14"/>
  <c r="Z9" i="14"/>
  <c r="A10" i="14"/>
  <c r="U9" i="14"/>
  <c r="V9" i="14"/>
  <c r="X9" i="14"/>
  <c r="E9" i="14"/>
  <c r="T9" i="14"/>
  <c r="F9" i="14"/>
  <c r="A207" i="14"/>
  <c r="A241" i="14"/>
  <c r="AA138" i="14"/>
  <c r="AA8" i="14"/>
  <c r="AA71" i="14"/>
  <c r="L72" i="14"/>
  <c r="J72" i="14"/>
  <c r="W72" i="14"/>
  <c r="U72" i="14"/>
  <c r="H72" i="14"/>
  <c r="F72" i="14"/>
  <c r="Y72" i="14"/>
  <c r="V72" i="14"/>
  <c r="Z72" i="14"/>
  <c r="T72" i="14"/>
  <c r="E72" i="14"/>
  <c r="K72" i="14"/>
  <c r="X72" i="14"/>
  <c r="A73" i="14"/>
  <c r="I72" i="14"/>
  <c r="X173" i="14"/>
  <c r="L173" i="14"/>
  <c r="K173" i="14"/>
  <c r="Y173" i="14"/>
  <c r="V173" i="14"/>
  <c r="U173" i="14"/>
  <c r="E173" i="14"/>
  <c r="J173" i="14"/>
  <c r="T173" i="14"/>
  <c r="W173" i="14"/>
  <c r="A174" i="14"/>
  <c r="H173" i="14"/>
  <c r="Z173" i="14"/>
  <c r="I173" i="14"/>
  <c r="J139" i="14"/>
  <c r="H139" i="14"/>
  <c r="I139" i="14"/>
  <c r="E139" i="14"/>
  <c r="X139" i="14"/>
  <c r="V139" i="14"/>
  <c r="T139" i="14"/>
  <c r="L139" i="14"/>
  <c r="F139" i="14"/>
  <c r="U139" i="14"/>
  <c r="W139" i="14"/>
  <c r="K139" i="14"/>
  <c r="Y139" i="14"/>
  <c r="A140" i="14"/>
  <c r="Z139" i="14"/>
  <c r="Z106" i="14"/>
  <c r="Y106" i="14"/>
  <c r="T106" i="14"/>
  <c r="V106" i="14"/>
  <c r="U106" i="14"/>
  <c r="L106" i="14"/>
  <c r="X106" i="14"/>
  <c r="W106" i="14"/>
  <c r="J106" i="14"/>
  <c r="F106" i="14"/>
  <c r="E106" i="14"/>
  <c r="A107" i="14"/>
  <c r="I106" i="14"/>
  <c r="K106" i="14"/>
  <c r="H106" i="14"/>
  <c r="AA40" i="14"/>
  <c r="AA105" i="14"/>
  <c r="W41" i="14"/>
  <c r="V41" i="14"/>
  <c r="U41" i="14"/>
  <c r="H41" i="14"/>
  <c r="L41" i="14"/>
  <c r="F41" i="14"/>
  <c r="Y41" i="14"/>
  <c r="K41" i="14"/>
  <c r="Z41" i="14"/>
  <c r="I41" i="14"/>
  <c r="A42" i="14"/>
  <c r="T41" i="14"/>
  <c r="X41" i="14"/>
  <c r="E41" i="14"/>
  <c r="J41" i="14"/>
  <c r="Q140" i="14" l="1"/>
  <c r="R140" i="14"/>
  <c r="S140" i="14"/>
  <c r="Q174" i="14"/>
  <c r="S174" i="14"/>
  <c r="R174" i="14"/>
  <c r="Q207" i="14"/>
  <c r="S207" i="14"/>
  <c r="R207" i="14"/>
  <c r="Q42" i="14"/>
  <c r="S42" i="14"/>
  <c r="R42" i="14"/>
  <c r="Q73" i="14"/>
  <c r="S73" i="14"/>
  <c r="R73" i="14"/>
  <c r="Q10" i="14"/>
  <c r="R10" i="14"/>
  <c r="S10" i="14"/>
  <c r="Q107" i="14"/>
  <c r="R107" i="14"/>
  <c r="S107" i="14"/>
  <c r="O174" i="14"/>
  <c r="N174" i="14"/>
  <c r="O107" i="14"/>
  <c r="N107" i="14"/>
  <c r="N207" i="14"/>
  <c r="O207" i="14"/>
  <c r="O73" i="14"/>
  <c r="N73" i="14"/>
  <c r="N42" i="14"/>
  <c r="O42" i="14"/>
  <c r="G10" i="14"/>
  <c r="N10" i="14"/>
  <c r="O10" i="14"/>
  <c r="O140" i="14"/>
  <c r="N140" i="14"/>
  <c r="M174" i="14"/>
  <c r="G174" i="14"/>
  <c r="M42" i="14"/>
  <c r="G42" i="14"/>
  <c r="M140" i="14"/>
  <c r="G140" i="14"/>
  <c r="M107" i="14"/>
  <c r="G107" i="14"/>
  <c r="M73" i="14"/>
  <c r="G73" i="14"/>
  <c r="M207" i="14"/>
  <c r="G207" i="14"/>
  <c r="M10" i="14"/>
  <c r="Z10" i="14"/>
  <c r="K10" i="14"/>
  <c r="V10" i="14"/>
  <c r="X10" i="14"/>
  <c r="W10" i="14"/>
  <c r="L10" i="14"/>
  <c r="H10" i="14"/>
  <c r="J10" i="14"/>
  <c r="T10" i="14"/>
  <c r="A11" i="14"/>
  <c r="U10" i="14"/>
  <c r="Y10" i="14"/>
  <c r="E10" i="14"/>
  <c r="F10" i="14"/>
  <c r="I10" i="14"/>
  <c r="AA72" i="14"/>
  <c r="A242" i="14"/>
  <c r="A276" i="14"/>
  <c r="L207" i="14"/>
  <c r="E207" i="14"/>
  <c r="I207" i="14"/>
  <c r="Z207" i="14"/>
  <c r="Y207" i="14"/>
  <c r="K207" i="14"/>
  <c r="W207" i="14"/>
  <c r="F207" i="14"/>
  <c r="T207" i="14"/>
  <c r="X207" i="14"/>
  <c r="U207" i="14"/>
  <c r="J207" i="14"/>
  <c r="H207" i="14"/>
  <c r="A208" i="14"/>
  <c r="V207" i="14"/>
  <c r="A175" i="14"/>
  <c r="X174" i="14"/>
  <c r="W174" i="14"/>
  <c r="U174" i="14"/>
  <c r="F174" i="14"/>
  <c r="L174" i="14"/>
  <c r="Y174" i="14"/>
  <c r="E174" i="14"/>
  <c r="V174" i="14"/>
  <c r="I174" i="14"/>
  <c r="H174" i="14"/>
  <c r="T174" i="14"/>
  <c r="J174" i="14"/>
  <c r="Z174" i="14"/>
  <c r="K174" i="14"/>
  <c r="V107" i="14"/>
  <c r="K107" i="14"/>
  <c r="H107" i="14"/>
  <c r="J107" i="14"/>
  <c r="L107" i="14"/>
  <c r="X107" i="14"/>
  <c r="E107" i="14"/>
  <c r="F107" i="14"/>
  <c r="Y107" i="14"/>
  <c r="W107" i="14"/>
  <c r="I107" i="14"/>
  <c r="T107" i="14"/>
  <c r="Z107" i="14"/>
  <c r="A108" i="14"/>
  <c r="U107" i="14"/>
  <c r="AA139" i="14"/>
  <c r="T140" i="14"/>
  <c r="Y140" i="14"/>
  <c r="K140" i="14"/>
  <c r="J140" i="14"/>
  <c r="U140" i="14"/>
  <c r="I140" i="14"/>
  <c r="X140" i="14"/>
  <c r="H140" i="14"/>
  <c r="W140" i="14"/>
  <c r="F140" i="14"/>
  <c r="A141" i="14"/>
  <c r="E140" i="14"/>
  <c r="L140" i="14"/>
  <c r="V140" i="14"/>
  <c r="Z140" i="14"/>
  <c r="AA41" i="14"/>
  <c r="AA106" i="14"/>
  <c r="AA173" i="14"/>
  <c r="AA9" i="14"/>
  <c r="K73" i="14"/>
  <c r="Z73" i="14"/>
  <c r="U73" i="14"/>
  <c r="T73" i="14"/>
  <c r="E73" i="14"/>
  <c r="V73" i="14"/>
  <c r="F73" i="14"/>
  <c r="X73" i="14"/>
  <c r="W73" i="14"/>
  <c r="I73" i="14"/>
  <c r="A74" i="14"/>
  <c r="H73" i="14"/>
  <c r="J73" i="14"/>
  <c r="L73" i="14"/>
  <c r="Y73" i="14"/>
  <c r="F42" i="14"/>
  <c r="K42" i="14"/>
  <c r="A43" i="14"/>
  <c r="L42" i="14"/>
  <c r="I42" i="14"/>
  <c r="V42" i="14"/>
  <c r="J42" i="14"/>
  <c r="T42" i="14"/>
  <c r="E42" i="14"/>
  <c r="U42" i="14"/>
  <c r="Z42" i="14"/>
  <c r="X42" i="14"/>
  <c r="Y42" i="14"/>
  <c r="W42" i="14"/>
  <c r="H42" i="14"/>
  <c r="Q108" i="14" l="1"/>
  <c r="S108" i="14"/>
  <c r="R108" i="14"/>
  <c r="Q74" i="14"/>
  <c r="R74" i="14"/>
  <c r="S74" i="14"/>
  <c r="Q43" i="14"/>
  <c r="R43" i="14"/>
  <c r="S43" i="14"/>
  <c r="Q175" i="14"/>
  <c r="R175" i="14"/>
  <c r="S175" i="14"/>
  <c r="Q242" i="14"/>
  <c r="R242" i="14"/>
  <c r="S242" i="14"/>
  <c r="Q141" i="14"/>
  <c r="S141" i="14"/>
  <c r="R141" i="14"/>
  <c r="Q11" i="14"/>
  <c r="S11" i="14"/>
  <c r="R11" i="14"/>
  <c r="Q208" i="14"/>
  <c r="R208" i="14"/>
  <c r="S208" i="14"/>
  <c r="O108" i="14"/>
  <c r="N108" i="14"/>
  <c r="N208" i="14"/>
  <c r="O208" i="14"/>
  <c r="O141" i="14"/>
  <c r="N141" i="14"/>
  <c r="G11" i="14"/>
  <c r="N11" i="14"/>
  <c r="O11" i="14"/>
  <c r="O175" i="14"/>
  <c r="N175" i="14"/>
  <c r="N242" i="14"/>
  <c r="O242" i="14"/>
  <c r="O74" i="14"/>
  <c r="N74" i="14"/>
  <c r="N43" i="14"/>
  <c r="O43" i="14"/>
  <c r="M43" i="14"/>
  <c r="G43" i="14"/>
  <c r="M108" i="14"/>
  <c r="G108" i="14"/>
  <c r="M175" i="14"/>
  <c r="G175" i="14"/>
  <c r="M74" i="14"/>
  <c r="G74" i="14"/>
  <c r="M141" i="14"/>
  <c r="G141" i="14"/>
  <c r="M208" i="14"/>
  <c r="G208" i="14"/>
  <c r="M242" i="14"/>
  <c r="G242" i="14"/>
  <c r="M11" i="14"/>
  <c r="E11" i="14"/>
  <c r="A12" i="14"/>
  <c r="Y11" i="14"/>
  <c r="T11" i="14"/>
  <c r="H11" i="14"/>
  <c r="U11" i="14"/>
  <c r="Z11" i="14"/>
  <c r="J11" i="14"/>
  <c r="K11" i="14"/>
  <c r="F11" i="14"/>
  <c r="V11" i="14"/>
  <c r="W11" i="14"/>
  <c r="L11" i="14"/>
  <c r="X11" i="14"/>
  <c r="I11" i="14"/>
  <c r="E43" i="14"/>
  <c r="W43" i="14"/>
  <c r="H43" i="14"/>
  <c r="T43" i="14"/>
  <c r="J43" i="14"/>
  <c r="F43" i="14"/>
  <c r="Y43" i="14"/>
  <c r="U43" i="14"/>
  <c r="Z43" i="14"/>
  <c r="I43" i="14"/>
  <c r="V43" i="14"/>
  <c r="A44" i="14"/>
  <c r="L43" i="14"/>
  <c r="X43" i="14"/>
  <c r="K43" i="14"/>
  <c r="U175" i="14"/>
  <c r="T175" i="14"/>
  <c r="L175" i="14"/>
  <c r="H175" i="14"/>
  <c r="E175" i="14"/>
  <c r="Y175" i="14"/>
  <c r="F175" i="14"/>
  <c r="I175" i="14"/>
  <c r="Z175" i="14"/>
  <c r="W175" i="14"/>
  <c r="J175" i="14"/>
  <c r="A176" i="14"/>
  <c r="V175" i="14"/>
  <c r="X175" i="14"/>
  <c r="K175" i="14"/>
  <c r="AA207" i="14"/>
  <c r="K242" i="14"/>
  <c r="J242" i="14"/>
  <c r="A243" i="14"/>
  <c r="V242" i="14"/>
  <c r="H242" i="14"/>
  <c r="F242" i="14"/>
  <c r="T242" i="14"/>
  <c r="E242" i="14"/>
  <c r="W242" i="14"/>
  <c r="Z242" i="14"/>
  <c r="I242" i="14"/>
  <c r="L242" i="14"/>
  <c r="U242" i="14"/>
  <c r="Y242" i="14"/>
  <c r="X242" i="14"/>
  <c r="A142" i="14"/>
  <c r="X141" i="14"/>
  <c r="U141" i="14"/>
  <c r="Z141" i="14"/>
  <c r="W141" i="14"/>
  <c r="I141" i="14"/>
  <c r="H141" i="14"/>
  <c r="L141" i="14"/>
  <c r="T141" i="14"/>
  <c r="F141" i="14"/>
  <c r="J141" i="14"/>
  <c r="E141" i="14"/>
  <c r="V141" i="14"/>
  <c r="Y141" i="14"/>
  <c r="K141" i="14"/>
  <c r="T208" i="14"/>
  <c r="F208" i="14"/>
  <c r="A209" i="14"/>
  <c r="J208" i="14"/>
  <c r="W208" i="14"/>
  <c r="I208" i="14"/>
  <c r="L208" i="14"/>
  <c r="X208" i="14"/>
  <c r="V208" i="14"/>
  <c r="H208" i="14"/>
  <c r="U208" i="14"/>
  <c r="Y208" i="14"/>
  <c r="E208" i="14"/>
  <c r="Z208" i="14"/>
  <c r="K208" i="14"/>
  <c r="Y74" i="14"/>
  <c r="U74" i="14"/>
  <c r="L74" i="14"/>
  <c r="Z74" i="14"/>
  <c r="X74" i="14"/>
  <c r="I74" i="14"/>
  <c r="W74" i="14"/>
  <c r="A75" i="14"/>
  <c r="J74" i="14"/>
  <c r="E74" i="14"/>
  <c r="T74" i="14"/>
  <c r="V74" i="14"/>
  <c r="H74" i="14"/>
  <c r="K74" i="14"/>
  <c r="F74" i="14"/>
  <c r="AA174" i="14"/>
  <c r="L108" i="14"/>
  <c r="A109" i="14"/>
  <c r="Y108" i="14"/>
  <c r="K108" i="14"/>
  <c r="H108" i="14"/>
  <c r="X108" i="14"/>
  <c r="E108" i="14"/>
  <c r="T108" i="14"/>
  <c r="U108" i="14"/>
  <c r="Z108" i="14"/>
  <c r="J108" i="14"/>
  <c r="V108" i="14"/>
  <c r="W108" i="14"/>
  <c r="F108" i="14"/>
  <c r="I108" i="14"/>
  <c r="A310" i="14"/>
  <c r="A277" i="14"/>
  <c r="AA42" i="14"/>
  <c r="AA10" i="14"/>
  <c r="AA73" i="14"/>
  <c r="AA140" i="14"/>
  <c r="AA107" i="14"/>
  <c r="Q12" i="14" l="1"/>
  <c r="R12" i="14"/>
  <c r="S12" i="14"/>
  <c r="Q243" i="14"/>
  <c r="R243" i="14"/>
  <c r="S243" i="14"/>
  <c r="Q75" i="14"/>
  <c r="R75" i="14"/>
  <c r="S75" i="14"/>
  <c r="Q109" i="14"/>
  <c r="R109" i="14"/>
  <c r="S109" i="14"/>
  <c r="Q209" i="14"/>
  <c r="R209" i="14"/>
  <c r="S209" i="14"/>
  <c r="Q142" i="14"/>
  <c r="R142" i="14"/>
  <c r="S142" i="14"/>
  <c r="Q44" i="14"/>
  <c r="R44" i="14"/>
  <c r="S44" i="14"/>
  <c r="Q176" i="14"/>
  <c r="S176" i="14"/>
  <c r="R176" i="14"/>
  <c r="Q277" i="14"/>
  <c r="R277" i="14"/>
  <c r="S277" i="14"/>
  <c r="O176" i="14"/>
  <c r="N176" i="14"/>
  <c r="O142" i="14"/>
  <c r="N142" i="14"/>
  <c r="O109" i="14"/>
  <c r="N109" i="14"/>
  <c r="N44" i="14"/>
  <c r="O44" i="14"/>
  <c r="G12" i="14"/>
  <c r="N12" i="14"/>
  <c r="O12" i="14"/>
  <c r="N75" i="14"/>
  <c r="O75" i="14"/>
  <c r="N243" i="14"/>
  <c r="O243" i="14"/>
  <c r="O209" i="14"/>
  <c r="N209" i="14"/>
  <c r="N277" i="14"/>
  <c r="O277" i="14"/>
  <c r="M277" i="14"/>
  <c r="G277" i="14"/>
  <c r="M109" i="14"/>
  <c r="G109" i="14"/>
  <c r="M75" i="14"/>
  <c r="G75" i="14"/>
  <c r="M176" i="14"/>
  <c r="G176" i="14"/>
  <c r="M209" i="14"/>
  <c r="G209" i="14"/>
  <c r="M243" i="14"/>
  <c r="G243" i="14"/>
  <c r="M44" i="14"/>
  <c r="G44" i="14"/>
  <c r="M142" i="14"/>
  <c r="G142" i="14"/>
  <c r="M12" i="14"/>
  <c r="J109" i="14"/>
  <c r="T109" i="14"/>
  <c r="K109" i="14"/>
  <c r="Y109" i="14"/>
  <c r="X109" i="14"/>
  <c r="V109" i="14"/>
  <c r="H109" i="14"/>
  <c r="F109" i="14"/>
  <c r="E109" i="14"/>
  <c r="A110" i="14"/>
  <c r="U109" i="14"/>
  <c r="L109" i="14"/>
  <c r="I109" i="14"/>
  <c r="W109" i="14"/>
  <c r="Z109" i="14"/>
  <c r="V277" i="14"/>
  <c r="L277" i="14"/>
  <c r="J277" i="14"/>
  <c r="K277" i="14"/>
  <c r="F277" i="14"/>
  <c r="H277" i="14"/>
  <c r="A278" i="14"/>
  <c r="I277" i="14"/>
  <c r="X277" i="14"/>
  <c r="Y277" i="14"/>
  <c r="W277" i="14"/>
  <c r="T277" i="14"/>
  <c r="Z277" i="14"/>
  <c r="E277" i="14"/>
  <c r="U277" i="14"/>
  <c r="AA43" i="14"/>
  <c r="J243" i="14"/>
  <c r="T243" i="14"/>
  <c r="E243" i="14"/>
  <c r="K243" i="14"/>
  <c r="L243" i="14"/>
  <c r="Z243" i="14"/>
  <c r="W243" i="14"/>
  <c r="H243" i="14"/>
  <c r="U243" i="14"/>
  <c r="V243" i="14"/>
  <c r="A244" i="14"/>
  <c r="F243" i="14"/>
  <c r="X243" i="14"/>
  <c r="Y243" i="14"/>
  <c r="I243" i="14"/>
  <c r="AA175" i="14"/>
  <c r="T75" i="14"/>
  <c r="U75" i="14"/>
  <c r="L75" i="14"/>
  <c r="K75" i="14"/>
  <c r="Y75" i="14"/>
  <c r="J75" i="14"/>
  <c r="F75" i="14"/>
  <c r="X75" i="14"/>
  <c r="A76" i="14"/>
  <c r="I75" i="14"/>
  <c r="H75" i="14"/>
  <c r="E75" i="14"/>
  <c r="Z75" i="14"/>
  <c r="V75" i="14"/>
  <c r="W75" i="14"/>
  <c r="AA242" i="14"/>
  <c r="E12" i="14"/>
  <c r="I12" i="14"/>
  <c r="F12" i="14"/>
  <c r="U12" i="14"/>
  <c r="T12" i="14"/>
  <c r="H12" i="14"/>
  <c r="V12" i="14"/>
  <c r="X12" i="14"/>
  <c r="J12" i="14"/>
  <c r="Y12" i="14"/>
  <c r="L12" i="14"/>
  <c r="W12" i="14"/>
  <c r="A13" i="14"/>
  <c r="Z12" i="14"/>
  <c r="K12" i="14"/>
  <c r="E142" i="14"/>
  <c r="L142" i="14"/>
  <c r="H142" i="14"/>
  <c r="V142" i="14"/>
  <c r="T142" i="14"/>
  <c r="K142" i="14"/>
  <c r="U142" i="14"/>
  <c r="Z142" i="14"/>
  <c r="W142" i="14"/>
  <c r="J142" i="14"/>
  <c r="F142" i="14"/>
  <c r="Y142" i="14"/>
  <c r="I142" i="14"/>
  <c r="A143" i="14"/>
  <c r="X142" i="14"/>
  <c r="H176" i="14"/>
  <c r="F176" i="14"/>
  <c r="Z176" i="14"/>
  <c r="L176" i="14"/>
  <c r="U176" i="14"/>
  <c r="W176" i="14"/>
  <c r="V176" i="14"/>
  <c r="J176" i="14"/>
  <c r="Y176" i="14"/>
  <c r="X176" i="14"/>
  <c r="K176" i="14"/>
  <c r="I176" i="14"/>
  <c r="E176" i="14"/>
  <c r="A177" i="14"/>
  <c r="T176" i="14"/>
  <c r="K209" i="14"/>
  <c r="A210" i="14"/>
  <c r="V209" i="14"/>
  <c r="F209" i="14"/>
  <c r="H209" i="14"/>
  <c r="X209" i="14"/>
  <c r="U209" i="14"/>
  <c r="W209" i="14"/>
  <c r="Y209" i="14"/>
  <c r="E209" i="14"/>
  <c r="T209" i="14"/>
  <c r="L209" i="14"/>
  <c r="I209" i="14"/>
  <c r="J209" i="14"/>
  <c r="Z209" i="14"/>
  <c r="AA11" i="14"/>
  <c r="A345" i="14"/>
  <c r="A311" i="14"/>
  <c r="AA74" i="14"/>
  <c r="Y44" i="14"/>
  <c r="V44" i="14"/>
  <c r="J44" i="14"/>
  <c r="X44" i="14"/>
  <c r="I44" i="14"/>
  <c r="E44" i="14"/>
  <c r="Z44" i="14"/>
  <c r="H44" i="14"/>
  <c r="U44" i="14"/>
  <c r="L44" i="14"/>
  <c r="W44" i="14"/>
  <c r="A45" i="14"/>
  <c r="K44" i="14"/>
  <c r="T44" i="14"/>
  <c r="F44" i="14"/>
  <c r="AA108" i="14"/>
  <c r="AA141" i="14"/>
  <c r="AA208" i="14"/>
  <c r="Q13" i="14" l="1"/>
  <c r="S13" i="14"/>
  <c r="R13" i="14"/>
  <c r="Q143" i="14"/>
  <c r="S143" i="14"/>
  <c r="R143" i="14"/>
  <c r="Q244" i="14"/>
  <c r="S244" i="14"/>
  <c r="R244" i="14"/>
  <c r="Q110" i="14"/>
  <c r="R110" i="14"/>
  <c r="S110" i="14"/>
  <c r="Q311" i="14"/>
  <c r="R311" i="14"/>
  <c r="S311" i="14"/>
  <c r="Q45" i="14"/>
  <c r="S45" i="14"/>
  <c r="R45" i="14"/>
  <c r="Q76" i="14"/>
  <c r="R76" i="14"/>
  <c r="S76" i="14"/>
  <c r="Q278" i="14"/>
  <c r="R278" i="14"/>
  <c r="S278" i="14"/>
  <c r="Q210" i="14"/>
  <c r="R210" i="14"/>
  <c r="S210" i="14"/>
  <c r="Q177" i="14"/>
  <c r="S177" i="14"/>
  <c r="R177" i="14"/>
  <c r="N244" i="14"/>
  <c r="O244" i="14"/>
  <c r="N110" i="14"/>
  <c r="O110" i="14"/>
  <c r="N278" i="14"/>
  <c r="O278" i="14"/>
  <c r="N76" i="14"/>
  <c r="O76" i="14"/>
  <c r="O177" i="14"/>
  <c r="N177" i="14"/>
  <c r="N311" i="14"/>
  <c r="O311" i="14"/>
  <c r="O210" i="14"/>
  <c r="N210" i="14"/>
  <c r="N45" i="14"/>
  <c r="O45" i="14"/>
  <c r="O143" i="14"/>
  <c r="N143" i="14"/>
  <c r="G13" i="14"/>
  <c r="O13" i="14"/>
  <c r="N13" i="14"/>
  <c r="M210" i="14"/>
  <c r="G210" i="14"/>
  <c r="M311" i="14"/>
  <c r="G311" i="14"/>
  <c r="M278" i="14"/>
  <c r="G278" i="14"/>
  <c r="M45" i="14"/>
  <c r="G45" i="14"/>
  <c r="M110" i="14"/>
  <c r="G110" i="14"/>
  <c r="M143" i="14"/>
  <c r="G143" i="14"/>
  <c r="M177" i="14"/>
  <c r="G177" i="14"/>
  <c r="M244" i="14"/>
  <c r="G244" i="14"/>
  <c r="M76" i="14"/>
  <c r="G76" i="14"/>
  <c r="M13" i="14"/>
  <c r="F110" i="14"/>
  <c r="K110" i="14"/>
  <c r="L110" i="14"/>
  <c r="A111" i="14"/>
  <c r="J110" i="14"/>
  <c r="X110" i="14"/>
  <c r="V110" i="14"/>
  <c r="T110" i="14"/>
  <c r="W110" i="14"/>
  <c r="Z110" i="14"/>
  <c r="I110" i="14"/>
  <c r="H110" i="14"/>
  <c r="U110" i="14"/>
  <c r="E110" i="14"/>
  <c r="Y110" i="14"/>
  <c r="AA109" i="14"/>
  <c r="X278" i="14"/>
  <c r="Y278" i="14"/>
  <c r="H278" i="14"/>
  <c r="V278" i="14"/>
  <c r="A279" i="14"/>
  <c r="J278" i="14"/>
  <c r="W278" i="14"/>
  <c r="I278" i="14"/>
  <c r="L278" i="14"/>
  <c r="E278" i="14"/>
  <c r="K278" i="14"/>
  <c r="F278" i="14"/>
  <c r="U278" i="14"/>
  <c r="T278" i="14"/>
  <c r="Z278" i="14"/>
  <c r="J45" i="14"/>
  <c r="U45" i="14"/>
  <c r="L45" i="14"/>
  <c r="K45" i="14"/>
  <c r="T45" i="14"/>
  <c r="A46" i="14"/>
  <c r="V45" i="14"/>
  <c r="W45" i="14"/>
  <c r="E45" i="14"/>
  <c r="X45" i="14"/>
  <c r="H45" i="14"/>
  <c r="Z45" i="14"/>
  <c r="Y45" i="14"/>
  <c r="I45" i="14"/>
  <c r="F45" i="14"/>
  <c r="AA243" i="14"/>
  <c r="AA75" i="14"/>
  <c r="A245" i="14"/>
  <c r="F244" i="14"/>
  <c r="H244" i="14"/>
  <c r="L244" i="14"/>
  <c r="T244" i="14"/>
  <c r="E244" i="14"/>
  <c r="I244" i="14"/>
  <c r="X244" i="14"/>
  <c r="Z244" i="14"/>
  <c r="K244" i="14"/>
  <c r="J244" i="14"/>
  <c r="Y244" i="14"/>
  <c r="V244" i="14"/>
  <c r="U244" i="14"/>
  <c r="W244" i="14"/>
  <c r="AA277" i="14"/>
  <c r="W210" i="14"/>
  <c r="V210" i="14"/>
  <c r="K210" i="14"/>
  <c r="H210" i="14"/>
  <c r="I210" i="14"/>
  <c r="U210" i="14"/>
  <c r="T210" i="14"/>
  <c r="L210" i="14"/>
  <c r="E210" i="14"/>
  <c r="Y210" i="14"/>
  <c r="Z210" i="14"/>
  <c r="X210" i="14"/>
  <c r="F210" i="14"/>
  <c r="A211" i="14"/>
  <c r="J210" i="14"/>
  <c r="I177" i="14"/>
  <c r="E177" i="14"/>
  <c r="J177" i="14"/>
  <c r="H177" i="14"/>
  <c r="L177" i="14"/>
  <c r="W177" i="14"/>
  <c r="K177" i="14"/>
  <c r="A178" i="14"/>
  <c r="T177" i="14"/>
  <c r="U177" i="14"/>
  <c r="Z177" i="14"/>
  <c r="V177" i="14"/>
  <c r="Y177" i="14"/>
  <c r="F177" i="14"/>
  <c r="X177" i="14"/>
  <c r="AA176" i="14"/>
  <c r="AA142" i="14"/>
  <c r="AA12" i="14"/>
  <c r="U76" i="14"/>
  <c r="W76" i="14"/>
  <c r="H76" i="14"/>
  <c r="J76" i="14"/>
  <c r="X76" i="14"/>
  <c r="T76" i="14"/>
  <c r="V76" i="14"/>
  <c r="E76" i="14"/>
  <c r="Z76" i="14"/>
  <c r="K76" i="14"/>
  <c r="A77" i="14"/>
  <c r="I76" i="14"/>
  <c r="Y76" i="14"/>
  <c r="L76" i="14"/>
  <c r="F76" i="14"/>
  <c r="W143" i="14"/>
  <c r="T143" i="14"/>
  <c r="H143" i="14"/>
  <c r="V143" i="14"/>
  <c r="K143" i="14"/>
  <c r="X143" i="14"/>
  <c r="Y143" i="14"/>
  <c r="F143" i="14"/>
  <c r="E143" i="14"/>
  <c r="U143" i="14"/>
  <c r="A144" i="14"/>
  <c r="L143" i="14"/>
  <c r="I143" i="14"/>
  <c r="J143" i="14"/>
  <c r="Z143" i="14"/>
  <c r="A346" i="14"/>
  <c r="A379" i="14"/>
  <c r="AA44" i="14"/>
  <c r="AA209" i="14"/>
  <c r="E13" i="14"/>
  <c r="A14" i="14"/>
  <c r="U13" i="14"/>
  <c r="W13" i="14"/>
  <c r="X13" i="14"/>
  <c r="L13" i="14"/>
  <c r="Z13" i="14"/>
  <c r="Y13" i="14"/>
  <c r="V13" i="14"/>
  <c r="H13" i="14"/>
  <c r="K13" i="14"/>
  <c r="J13" i="14"/>
  <c r="F13" i="14"/>
  <c r="T13" i="14"/>
  <c r="I13" i="14"/>
  <c r="L311" i="14"/>
  <c r="K311" i="14"/>
  <c r="F311" i="14"/>
  <c r="U311" i="14"/>
  <c r="Y311" i="14"/>
  <c r="E311" i="14"/>
  <c r="V311" i="14"/>
  <c r="A312" i="14"/>
  <c r="W311" i="14"/>
  <c r="T311" i="14"/>
  <c r="I311" i="14"/>
  <c r="X311" i="14"/>
  <c r="H311" i="14"/>
  <c r="J311" i="14"/>
  <c r="Z311" i="14"/>
  <c r="A380" i="14" l="1"/>
  <c r="A413" i="14"/>
  <c r="A414" i="14" s="1"/>
  <c r="Q178" i="14"/>
  <c r="S178" i="14"/>
  <c r="R178" i="14"/>
  <c r="Q46" i="14"/>
  <c r="R46" i="14"/>
  <c r="S46" i="14"/>
  <c r="Q279" i="14"/>
  <c r="S279" i="14"/>
  <c r="R279" i="14"/>
  <c r="Q111" i="14"/>
  <c r="R111" i="14"/>
  <c r="S111" i="14"/>
  <c r="Q14" i="14"/>
  <c r="S14" i="14"/>
  <c r="R14" i="14"/>
  <c r="Q312" i="14"/>
  <c r="S312" i="14"/>
  <c r="R312" i="14"/>
  <c r="Q346" i="14"/>
  <c r="R346" i="14"/>
  <c r="S346" i="14"/>
  <c r="Q211" i="14"/>
  <c r="S211" i="14"/>
  <c r="R211" i="14"/>
  <c r="Q380" i="14"/>
  <c r="R380" i="14"/>
  <c r="S380" i="14"/>
  <c r="Q245" i="14"/>
  <c r="R245" i="14"/>
  <c r="S245" i="14"/>
  <c r="Q77" i="14"/>
  <c r="S77" i="14"/>
  <c r="R77" i="14"/>
  <c r="Q144" i="14"/>
  <c r="R144" i="14"/>
  <c r="S144" i="14"/>
  <c r="O46" i="14"/>
  <c r="N46" i="14"/>
  <c r="N279" i="14"/>
  <c r="O279" i="14"/>
  <c r="N111" i="14"/>
  <c r="O111" i="14"/>
  <c r="G14" i="14"/>
  <c r="O14" i="14"/>
  <c r="N14" i="14"/>
  <c r="O380" i="14"/>
  <c r="N380" i="14"/>
  <c r="N245" i="14"/>
  <c r="O245" i="14"/>
  <c r="N346" i="14"/>
  <c r="O346" i="14"/>
  <c r="O211" i="14"/>
  <c r="N211" i="14"/>
  <c r="N77" i="14"/>
  <c r="O77" i="14"/>
  <c r="O178" i="14"/>
  <c r="N178" i="14"/>
  <c r="N144" i="14"/>
  <c r="O144" i="14"/>
  <c r="N312" i="14"/>
  <c r="O312" i="14"/>
  <c r="M46" i="14"/>
  <c r="G46" i="14"/>
  <c r="M245" i="14"/>
  <c r="G245" i="14"/>
  <c r="M279" i="14"/>
  <c r="G279" i="14"/>
  <c r="M111" i="14"/>
  <c r="G111" i="14"/>
  <c r="M312" i="14"/>
  <c r="G312" i="14"/>
  <c r="M211" i="14"/>
  <c r="G211" i="14"/>
  <c r="M178" i="14"/>
  <c r="G178" i="14"/>
  <c r="M380" i="14"/>
  <c r="G380" i="14"/>
  <c r="M346" i="14"/>
  <c r="G346" i="14"/>
  <c r="M144" i="14"/>
  <c r="G144" i="14"/>
  <c r="M77" i="14"/>
  <c r="G77" i="14"/>
  <c r="M14" i="14"/>
  <c r="E46" i="14"/>
  <c r="W46" i="14"/>
  <c r="I46" i="14"/>
  <c r="J46" i="14"/>
  <c r="Z46" i="14"/>
  <c r="L46" i="14"/>
  <c r="X46" i="14"/>
  <c r="F46" i="14"/>
  <c r="K46" i="14"/>
  <c r="T46" i="14"/>
  <c r="U46" i="14"/>
  <c r="A47" i="14"/>
  <c r="V46" i="14"/>
  <c r="Y46" i="14"/>
  <c r="H46" i="14"/>
  <c r="E178" i="14"/>
  <c r="T178" i="14"/>
  <c r="W178" i="14"/>
  <c r="Y178" i="14"/>
  <c r="F178" i="14"/>
  <c r="L178" i="14"/>
  <c r="X178" i="14"/>
  <c r="I178" i="14"/>
  <c r="A179" i="14"/>
  <c r="H178" i="14"/>
  <c r="J178" i="14"/>
  <c r="Z178" i="14"/>
  <c r="U178" i="14"/>
  <c r="V178" i="14"/>
  <c r="K178" i="14"/>
  <c r="AA311" i="14"/>
  <c r="E144" i="14"/>
  <c r="A145" i="14"/>
  <c r="W144" i="14"/>
  <c r="X144" i="14"/>
  <c r="F144" i="14"/>
  <c r="V144" i="14"/>
  <c r="U144" i="14"/>
  <c r="H144" i="14"/>
  <c r="J144" i="14"/>
  <c r="L144" i="14"/>
  <c r="K144" i="14"/>
  <c r="Y144" i="14"/>
  <c r="T144" i="14"/>
  <c r="Z144" i="14"/>
  <c r="I144" i="14"/>
  <c r="A347" i="14"/>
  <c r="T346" i="14"/>
  <c r="Y346" i="14"/>
  <c r="J346" i="14"/>
  <c r="E346" i="14"/>
  <c r="Z346" i="14"/>
  <c r="K346" i="14"/>
  <c r="L346" i="14"/>
  <c r="V346" i="14"/>
  <c r="F346" i="14"/>
  <c r="U346" i="14"/>
  <c r="I346" i="14"/>
  <c r="X346" i="14"/>
  <c r="H346" i="14"/>
  <c r="W346" i="14"/>
  <c r="A246" i="14"/>
  <c r="E245" i="14"/>
  <c r="W245" i="14"/>
  <c r="T245" i="14"/>
  <c r="Y245" i="14"/>
  <c r="I245" i="14"/>
  <c r="Z245" i="14"/>
  <c r="J245" i="14"/>
  <c r="F245" i="14"/>
  <c r="K245" i="14"/>
  <c r="V245" i="14"/>
  <c r="L245" i="14"/>
  <c r="H245" i="14"/>
  <c r="U245" i="14"/>
  <c r="X245" i="14"/>
  <c r="E111" i="14"/>
  <c r="V111" i="14"/>
  <c r="H111" i="14"/>
  <c r="T111" i="14"/>
  <c r="K111" i="14"/>
  <c r="Y111" i="14"/>
  <c r="Z111" i="14"/>
  <c r="W111" i="14"/>
  <c r="F111" i="14"/>
  <c r="J111" i="14"/>
  <c r="A112" i="14"/>
  <c r="X111" i="14"/>
  <c r="L111" i="14"/>
  <c r="I111" i="14"/>
  <c r="U111" i="14"/>
  <c r="AA143" i="14"/>
  <c r="A313" i="14"/>
  <c r="E312" i="14"/>
  <c r="I312" i="14"/>
  <c r="K312" i="14"/>
  <c r="U312" i="14"/>
  <c r="T312" i="14"/>
  <c r="X312" i="14"/>
  <c r="H312" i="14"/>
  <c r="J312" i="14"/>
  <c r="L312" i="14"/>
  <c r="Y312" i="14"/>
  <c r="F312" i="14"/>
  <c r="V312" i="14"/>
  <c r="W312" i="14"/>
  <c r="Z312" i="14"/>
  <c r="AA244" i="14"/>
  <c r="E380" i="14"/>
  <c r="F380" i="14"/>
  <c r="V380" i="14"/>
  <c r="J380" i="14"/>
  <c r="I380" i="14"/>
  <c r="Y380" i="14"/>
  <c r="L380" i="14"/>
  <c r="X380" i="14"/>
  <c r="H380" i="14"/>
  <c r="W380" i="14"/>
  <c r="U380" i="14"/>
  <c r="A381" i="14"/>
  <c r="Z380" i="14"/>
  <c r="K380" i="14"/>
  <c r="T380" i="14"/>
  <c r="H14" i="14"/>
  <c r="A15" i="14"/>
  <c r="X14" i="14"/>
  <c r="F14" i="14"/>
  <c r="L14" i="14"/>
  <c r="Y14" i="14"/>
  <c r="I14" i="14"/>
  <c r="Z14" i="14"/>
  <c r="J14" i="14"/>
  <c r="U14" i="14"/>
  <c r="K14" i="14"/>
  <c r="E14" i="14"/>
  <c r="W14" i="14"/>
  <c r="T14" i="14"/>
  <c r="V14" i="14"/>
  <c r="AA13" i="14"/>
  <c r="AA76" i="14"/>
  <c r="E279" i="14"/>
  <c r="A280" i="14"/>
  <c r="Y279" i="14"/>
  <c r="K279" i="14"/>
  <c r="T279" i="14"/>
  <c r="H279" i="14"/>
  <c r="I279" i="14"/>
  <c r="J279" i="14"/>
  <c r="V279" i="14"/>
  <c r="X279" i="14"/>
  <c r="L279" i="14"/>
  <c r="W279" i="14"/>
  <c r="U279" i="14"/>
  <c r="F279" i="14"/>
  <c r="Z279" i="14"/>
  <c r="A78" i="14"/>
  <c r="E77" i="14"/>
  <c r="K77" i="14"/>
  <c r="X77" i="14"/>
  <c r="T77" i="14"/>
  <c r="I77" i="14"/>
  <c r="H77" i="14"/>
  <c r="L77" i="14"/>
  <c r="U77" i="14"/>
  <c r="F77" i="14"/>
  <c r="J77" i="14"/>
  <c r="V77" i="14"/>
  <c r="Z77" i="14"/>
  <c r="W77" i="14"/>
  <c r="Y77" i="14"/>
  <c r="AA177" i="14"/>
  <c r="AA110" i="14"/>
  <c r="E211" i="14"/>
  <c r="A212" i="14"/>
  <c r="I211" i="14"/>
  <c r="L211" i="14"/>
  <c r="H211" i="14"/>
  <c r="T211" i="14"/>
  <c r="J211" i="14"/>
  <c r="Z211" i="14"/>
  <c r="Y211" i="14"/>
  <c r="V211" i="14"/>
  <c r="U211" i="14"/>
  <c r="K211" i="14"/>
  <c r="X211" i="14"/>
  <c r="W211" i="14"/>
  <c r="F211" i="14"/>
  <c r="AA45" i="14"/>
  <c r="AA278" i="14"/>
  <c r="AA210" i="14"/>
  <c r="A415" i="14" l="1"/>
  <c r="T414" i="14"/>
  <c r="F414" i="14"/>
  <c r="E414" i="14"/>
  <c r="N414" i="14"/>
  <c r="H414" i="14"/>
  <c r="S414" i="14"/>
  <c r="J414" i="14"/>
  <c r="O414" i="14"/>
  <c r="Z414" i="14"/>
  <c r="L414" i="14"/>
  <c r="V414" i="14"/>
  <c r="Q414" i="14"/>
  <c r="Y414" i="14"/>
  <c r="X414" i="14"/>
  <c r="G414" i="14"/>
  <c r="M414" i="14"/>
  <c r="W414" i="14"/>
  <c r="R414" i="14"/>
  <c r="I414" i="14"/>
  <c r="K414" i="14"/>
  <c r="U414" i="14"/>
  <c r="Q179" i="14"/>
  <c r="S179" i="14"/>
  <c r="R179" i="14"/>
  <c r="Q47" i="14"/>
  <c r="S47" i="14"/>
  <c r="R47" i="14"/>
  <c r="Q112" i="14"/>
  <c r="S112" i="14"/>
  <c r="R112" i="14"/>
  <c r="Q78" i="14"/>
  <c r="S78" i="14"/>
  <c r="R78" i="14"/>
  <c r="Q145" i="14"/>
  <c r="R145" i="14"/>
  <c r="S145" i="14"/>
  <c r="Q381" i="14"/>
  <c r="R381" i="14"/>
  <c r="S381" i="14"/>
  <c r="Q347" i="14"/>
  <c r="S347" i="14"/>
  <c r="R347" i="14"/>
  <c r="Q212" i="14"/>
  <c r="S212" i="14"/>
  <c r="R212" i="14"/>
  <c r="Q280" i="14"/>
  <c r="R280" i="14"/>
  <c r="S280" i="14"/>
  <c r="Q246" i="14"/>
  <c r="S246" i="14"/>
  <c r="R246" i="14"/>
  <c r="Q15" i="14"/>
  <c r="R15" i="14"/>
  <c r="S15" i="14"/>
  <c r="Q313" i="14"/>
  <c r="R313" i="14"/>
  <c r="S313" i="14"/>
  <c r="O212" i="14"/>
  <c r="N212" i="14"/>
  <c r="N47" i="14"/>
  <c r="O47" i="14"/>
  <c r="N246" i="14"/>
  <c r="O246" i="14"/>
  <c r="O381" i="14"/>
  <c r="N381" i="14"/>
  <c r="O179" i="14"/>
  <c r="N179" i="14"/>
  <c r="G15" i="14"/>
  <c r="N15" i="14"/>
  <c r="O15" i="14"/>
  <c r="N78" i="14"/>
  <c r="O78" i="14"/>
  <c r="N112" i="14"/>
  <c r="O112" i="14"/>
  <c r="N313" i="14"/>
  <c r="O313" i="14"/>
  <c r="N347" i="14"/>
  <c r="O347" i="14"/>
  <c r="N145" i="14"/>
  <c r="O145" i="14"/>
  <c r="N280" i="14"/>
  <c r="O280" i="14"/>
  <c r="M381" i="14"/>
  <c r="G381" i="14"/>
  <c r="M145" i="14"/>
  <c r="G145" i="14"/>
  <c r="M246" i="14"/>
  <c r="G246" i="14"/>
  <c r="M212" i="14"/>
  <c r="G212" i="14"/>
  <c r="M112" i="14"/>
  <c r="G112" i="14"/>
  <c r="M280" i="14"/>
  <c r="G280" i="14"/>
  <c r="M47" i="14"/>
  <c r="G47" i="14"/>
  <c r="M347" i="14"/>
  <c r="G347" i="14"/>
  <c r="M179" i="14"/>
  <c r="G179" i="14"/>
  <c r="M78" i="14"/>
  <c r="G78" i="14"/>
  <c r="M313" i="14"/>
  <c r="G313" i="14"/>
  <c r="M15" i="14"/>
  <c r="T347" i="14"/>
  <c r="L347" i="14"/>
  <c r="F347" i="14"/>
  <c r="A348" i="14"/>
  <c r="J347" i="14"/>
  <c r="H347" i="14"/>
  <c r="U347" i="14"/>
  <c r="Z347" i="14"/>
  <c r="E347" i="14"/>
  <c r="V347" i="14"/>
  <c r="W347" i="14"/>
  <c r="Y347" i="14"/>
  <c r="X347" i="14"/>
  <c r="K347" i="14"/>
  <c r="I347" i="14"/>
  <c r="Y145" i="14"/>
  <c r="K145" i="14"/>
  <c r="I145" i="14"/>
  <c r="A146" i="14"/>
  <c r="E145" i="14"/>
  <c r="L145" i="14"/>
  <c r="X145" i="14"/>
  <c r="T145" i="14"/>
  <c r="H145" i="14"/>
  <c r="W145" i="14"/>
  <c r="U145" i="14"/>
  <c r="F145" i="14"/>
  <c r="Z145" i="14"/>
  <c r="V145" i="14"/>
  <c r="J145" i="14"/>
  <c r="AA279" i="14"/>
  <c r="AA144" i="14"/>
  <c r="J112" i="14"/>
  <c r="X112" i="14"/>
  <c r="K112" i="14"/>
  <c r="Y112" i="14"/>
  <c r="H112" i="14"/>
  <c r="A113" i="14"/>
  <c r="Z112" i="14"/>
  <c r="I112" i="14"/>
  <c r="U112" i="14"/>
  <c r="E112" i="14"/>
  <c r="F112" i="14"/>
  <c r="T112" i="14"/>
  <c r="W112" i="14"/>
  <c r="L112" i="14"/>
  <c r="V112" i="14"/>
  <c r="AA178" i="14"/>
  <c r="T15" i="14"/>
  <c r="F15" i="14"/>
  <c r="I15" i="14"/>
  <c r="X15" i="14"/>
  <c r="U15" i="14"/>
  <c r="L15" i="14"/>
  <c r="K15" i="14"/>
  <c r="H15" i="14"/>
  <c r="J15" i="14"/>
  <c r="Y15" i="14"/>
  <c r="A16" i="14"/>
  <c r="V15" i="14"/>
  <c r="W15" i="14"/>
  <c r="E15" i="14"/>
  <c r="Z15" i="14"/>
  <c r="J313" i="14"/>
  <c r="V313" i="14"/>
  <c r="W313" i="14"/>
  <c r="I313" i="14"/>
  <c r="X313" i="14"/>
  <c r="T313" i="14"/>
  <c r="Z313" i="14"/>
  <c r="U313" i="14"/>
  <c r="F313" i="14"/>
  <c r="H313" i="14"/>
  <c r="E313" i="14"/>
  <c r="A314" i="14"/>
  <c r="L313" i="14"/>
  <c r="Y313" i="14"/>
  <c r="K313" i="14"/>
  <c r="AA46" i="14"/>
  <c r="AA346" i="14"/>
  <c r="X212" i="14"/>
  <c r="Y212" i="14"/>
  <c r="K212" i="14"/>
  <c r="H212" i="14"/>
  <c r="A213" i="14"/>
  <c r="L212" i="14"/>
  <c r="T212" i="14"/>
  <c r="E212" i="14"/>
  <c r="F212" i="14"/>
  <c r="V212" i="14"/>
  <c r="W212" i="14"/>
  <c r="J212" i="14"/>
  <c r="Z212" i="14"/>
  <c r="U212" i="14"/>
  <c r="I212" i="14"/>
  <c r="AA312" i="14"/>
  <c r="E47" i="14"/>
  <c r="A48" i="14"/>
  <c r="X47" i="14"/>
  <c r="Y47" i="14"/>
  <c r="L47" i="14"/>
  <c r="I47" i="14"/>
  <c r="F47" i="14"/>
  <c r="K47" i="14"/>
  <c r="T47" i="14"/>
  <c r="U47" i="14"/>
  <c r="W47" i="14"/>
  <c r="V47" i="14"/>
  <c r="Z47" i="14"/>
  <c r="H47" i="14"/>
  <c r="J47" i="14"/>
  <c r="AA14" i="14"/>
  <c r="AA111" i="14"/>
  <c r="AA211" i="14"/>
  <c r="AA245" i="14"/>
  <c r="AA380" i="14"/>
  <c r="E381" i="14"/>
  <c r="A382" i="14"/>
  <c r="K381" i="14"/>
  <c r="W381" i="14"/>
  <c r="X381" i="14"/>
  <c r="I381" i="14"/>
  <c r="J381" i="14"/>
  <c r="H381" i="14"/>
  <c r="V381" i="14"/>
  <c r="Y381" i="14"/>
  <c r="L381" i="14"/>
  <c r="Z381" i="14"/>
  <c r="U381" i="14"/>
  <c r="F381" i="14"/>
  <c r="T381" i="14"/>
  <c r="AA77" i="14"/>
  <c r="E78" i="14"/>
  <c r="Z78" i="14"/>
  <c r="F78" i="14"/>
  <c r="Y78" i="14"/>
  <c r="W78" i="14"/>
  <c r="X78" i="14"/>
  <c r="L78" i="14"/>
  <c r="H78" i="14"/>
  <c r="U78" i="14"/>
  <c r="A79" i="14"/>
  <c r="I78" i="14"/>
  <c r="T78" i="14"/>
  <c r="J78" i="14"/>
  <c r="K78" i="14"/>
  <c r="V78" i="14"/>
  <c r="U280" i="14"/>
  <c r="V280" i="14"/>
  <c r="W280" i="14"/>
  <c r="E280" i="14"/>
  <c r="J280" i="14"/>
  <c r="A281" i="14"/>
  <c r="X280" i="14"/>
  <c r="I280" i="14"/>
  <c r="K280" i="14"/>
  <c r="Z280" i="14"/>
  <c r="F280" i="14"/>
  <c r="H280" i="14"/>
  <c r="L280" i="14"/>
  <c r="Y280" i="14"/>
  <c r="T280" i="14"/>
  <c r="A247" i="14"/>
  <c r="V246" i="14"/>
  <c r="X246" i="14"/>
  <c r="K246" i="14"/>
  <c r="Y246" i="14"/>
  <c r="H246" i="14"/>
  <c r="J246" i="14"/>
  <c r="F246" i="14"/>
  <c r="T246" i="14"/>
  <c r="I246" i="14"/>
  <c r="Z246" i="14"/>
  <c r="U246" i="14"/>
  <c r="L246" i="14"/>
  <c r="W246" i="14"/>
  <c r="E246" i="14"/>
  <c r="K179" i="14"/>
  <c r="X179" i="14"/>
  <c r="U179" i="14"/>
  <c r="V179" i="14"/>
  <c r="Z179" i="14"/>
  <c r="W179" i="14"/>
  <c r="L179" i="14"/>
  <c r="A180" i="14"/>
  <c r="F179" i="14"/>
  <c r="E179" i="14"/>
  <c r="Y179" i="14"/>
  <c r="I179" i="14"/>
  <c r="T179" i="14"/>
  <c r="H179" i="14"/>
  <c r="J179" i="14"/>
  <c r="AA414" i="14" l="1"/>
  <c r="X415" i="14"/>
  <c r="Z415" i="14"/>
  <c r="U415" i="14"/>
  <c r="E415" i="14"/>
  <c r="T415" i="14"/>
  <c r="M415" i="14"/>
  <c r="Y415" i="14"/>
  <c r="S415" i="14"/>
  <c r="F415" i="14"/>
  <c r="A416" i="14"/>
  <c r="O415" i="14"/>
  <c r="R415" i="14"/>
  <c r="J415" i="14"/>
  <c r="L415" i="14"/>
  <c r="I415" i="14"/>
  <c r="G415" i="14"/>
  <c r="Q415" i="14"/>
  <c r="N415" i="14"/>
  <c r="H415" i="14"/>
  <c r="V415" i="14"/>
  <c r="W415" i="14"/>
  <c r="K415" i="14"/>
  <c r="Q281" i="14"/>
  <c r="S281" i="14"/>
  <c r="R281" i="14"/>
  <c r="Q113" i="14"/>
  <c r="S113" i="14"/>
  <c r="R113" i="14"/>
  <c r="Q16" i="14"/>
  <c r="S16" i="14"/>
  <c r="R16" i="14"/>
  <c r="Q213" i="14"/>
  <c r="S213" i="14"/>
  <c r="R213" i="14"/>
  <c r="Q348" i="14"/>
  <c r="R348" i="14"/>
  <c r="S348" i="14"/>
  <c r="Q180" i="14"/>
  <c r="R180" i="14"/>
  <c r="S180" i="14"/>
  <c r="Q247" i="14"/>
  <c r="S247" i="14"/>
  <c r="R247" i="14"/>
  <c r="Q146" i="14"/>
  <c r="S146" i="14"/>
  <c r="R146" i="14"/>
  <c r="Q48" i="14"/>
  <c r="S48" i="14"/>
  <c r="R48" i="14"/>
  <c r="Q382" i="14"/>
  <c r="R382" i="14"/>
  <c r="S382" i="14"/>
  <c r="Q314" i="14"/>
  <c r="S314" i="14"/>
  <c r="R314" i="14"/>
  <c r="Q79" i="14"/>
  <c r="R79" i="14"/>
  <c r="S79" i="14"/>
  <c r="N79" i="14"/>
  <c r="O79" i="14"/>
  <c r="N314" i="14"/>
  <c r="O314" i="14"/>
  <c r="G16" i="14"/>
  <c r="O16" i="14"/>
  <c r="N16" i="14"/>
  <c r="N281" i="14"/>
  <c r="O281" i="14"/>
  <c r="O382" i="14"/>
  <c r="N382" i="14"/>
  <c r="O113" i="14"/>
  <c r="N113" i="14"/>
  <c r="O213" i="14"/>
  <c r="N213" i="14"/>
  <c r="N348" i="14"/>
  <c r="O348" i="14"/>
  <c r="N180" i="14"/>
  <c r="O180" i="14"/>
  <c r="N247" i="14"/>
  <c r="O247" i="14"/>
  <c r="O146" i="14"/>
  <c r="N146" i="14"/>
  <c r="O48" i="14"/>
  <c r="N48" i="14"/>
  <c r="M314" i="14"/>
  <c r="G314" i="14"/>
  <c r="M146" i="14"/>
  <c r="G146" i="14"/>
  <c r="M348" i="14"/>
  <c r="G348" i="14"/>
  <c r="M382" i="14"/>
  <c r="G382" i="14"/>
  <c r="M213" i="14"/>
  <c r="G213" i="14"/>
  <c r="M79" i="14"/>
  <c r="G79" i="14"/>
  <c r="M48" i="14"/>
  <c r="G48" i="14"/>
  <c r="M281" i="14"/>
  <c r="G281" i="14"/>
  <c r="M180" i="14"/>
  <c r="G180" i="14"/>
  <c r="M113" i="14"/>
  <c r="G113" i="14"/>
  <c r="M247" i="14"/>
  <c r="G247" i="14"/>
  <c r="M16" i="14"/>
  <c r="AA15" i="14"/>
  <c r="AA313" i="14"/>
  <c r="AA145" i="14"/>
  <c r="AA347" i="14"/>
  <c r="AA78" i="14"/>
  <c r="H16" i="14"/>
  <c r="F16" i="14"/>
  <c r="U16" i="14"/>
  <c r="X16" i="14"/>
  <c r="Y16" i="14"/>
  <c r="Z16" i="14"/>
  <c r="I16" i="14"/>
  <c r="L16" i="14"/>
  <c r="V16" i="14"/>
  <c r="A17" i="14"/>
  <c r="T16" i="14"/>
  <c r="E16" i="14"/>
  <c r="J16" i="14"/>
  <c r="W16" i="14"/>
  <c r="K16" i="14"/>
  <c r="T146" i="14"/>
  <c r="X146" i="14"/>
  <c r="L146" i="14"/>
  <c r="Y146" i="14"/>
  <c r="A147" i="14"/>
  <c r="V146" i="14"/>
  <c r="H146" i="14"/>
  <c r="E146" i="14"/>
  <c r="K146" i="14"/>
  <c r="J146" i="14"/>
  <c r="I146" i="14"/>
  <c r="Z146" i="14"/>
  <c r="W146" i="14"/>
  <c r="U146" i="14"/>
  <c r="F146" i="14"/>
  <c r="F348" i="14"/>
  <c r="A349" i="14"/>
  <c r="I348" i="14"/>
  <c r="Y348" i="14"/>
  <c r="E348" i="14"/>
  <c r="X348" i="14"/>
  <c r="K348" i="14"/>
  <c r="H348" i="14"/>
  <c r="W348" i="14"/>
  <c r="V348" i="14"/>
  <c r="J348" i="14"/>
  <c r="T348" i="14"/>
  <c r="Z348" i="14"/>
  <c r="L348" i="14"/>
  <c r="U348" i="14"/>
  <c r="Y247" i="14"/>
  <c r="K247" i="14"/>
  <c r="L247" i="14"/>
  <c r="E247" i="14"/>
  <c r="H247" i="14"/>
  <c r="J247" i="14"/>
  <c r="V247" i="14"/>
  <c r="A248" i="14"/>
  <c r="X247" i="14"/>
  <c r="F247" i="14"/>
  <c r="I247" i="14"/>
  <c r="Z247" i="14"/>
  <c r="W247" i="14"/>
  <c r="U247" i="14"/>
  <c r="T247" i="14"/>
  <c r="AA112" i="14"/>
  <c r="K48" i="14"/>
  <c r="E48" i="14"/>
  <c r="U48" i="14"/>
  <c r="F48" i="14"/>
  <c r="H48" i="14"/>
  <c r="T48" i="14"/>
  <c r="V48" i="14"/>
  <c r="W48" i="14"/>
  <c r="L48" i="14"/>
  <c r="X48" i="14"/>
  <c r="A49" i="14"/>
  <c r="Z48" i="14"/>
  <c r="Y48" i="14"/>
  <c r="I48" i="14"/>
  <c r="J48" i="14"/>
  <c r="W382" i="14"/>
  <c r="L382" i="14"/>
  <c r="Y382" i="14"/>
  <c r="K382" i="14"/>
  <c r="H382" i="14"/>
  <c r="T382" i="14"/>
  <c r="Z382" i="14"/>
  <c r="J382" i="14"/>
  <c r="U382" i="14"/>
  <c r="A383" i="14"/>
  <c r="F382" i="14"/>
  <c r="X382" i="14"/>
  <c r="V382" i="14"/>
  <c r="E382" i="14"/>
  <c r="I382" i="14"/>
  <c r="AA280" i="14"/>
  <c r="AA246" i="14"/>
  <c r="Y314" i="14"/>
  <c r="X314" i="14"/>
  <c r="V314" i="14"/>
  <c r="F314" i="14"/>
  <c r="U314" i="14"/>
  <c r="K314" i="14"/>
  <c r="W314" i="14"/>
  <c r="E314" i="14"/>
  <c r="H314" i="14"/>
  <c r="L314" i="14"/>
  <c r="T314" i="14"/>
  <c r="Z314" i="14"/>
  <c r="I314" i="14"/>
  <c r="J314" i="14"/>
  <c r="A315" i="14"/>
  <c r="AA47" i="14"/>
  <c r="AA381" i="14"/>
  <c r="F113" i="14"/>
  <c r="J113" i="14"/>
  <c r="V113" i="14"/>
  <c r="U113" i="14"/>
  <c r="W113" i="14"/>
  <c r="Z113" i="14"/>
  <c r="H113" i="14"/>
  <c r="I113" i="14"/>
  <c r="A114" i="14"/>
  <c r="T113" i="14"/>
  <c r="E113" i="14"/>
  <c r="L113" i="14"/>
  <c r="Y113" i="14"/>
  <c r="X113" i="14"/>
  <c r="K113" i="14"/>
  <c r="A214" i="14"/>
  <c r="H213" i="14"/>
  <c r="V213" i="14"/>
  <c r="E213" i="14"/>
  <c r="W213" i="14"/>
  <c r="Z213" i="14"/>
  <c r="I213" i="14"/>
  <c r="L213" i="14"/>
  <c r="T213" i="14"/>
  <c r="F213" i="14"/>
  <c r="K213" i="14"/>
  <c r="U213" i="14"/>
  <c r="Y213" i="14"/>
  <c r="X213" i="14"/>
  <c r="J213" i="14"/>
  <c r="AA179" i="14"/>
  <c r="Y180" i="14"/>
  <c r="Z180" i="14"/>
  <c r="L180" i="14"/>
  <c r="E180" i="14"/>
  <c r="T180" i="14"/>
  <c r="F180" i="14"/>
  <c r="J180" i="14"/>
  <c r="V180" i="14"/>
  <c r="U180" i="14"/>
  <c r="X180" i="14"/>
  <c r="A181" i="14"/>
  <c r="I180" i="14"/>
  <c r="K180" i="14"/>
  <c r="W180" i="14"/>
  <c r="H180" i="14"/>
  <c r="K281" i="14"/>
  <c r="L281" i="14"/>
  <c r="U281" i="14"/>
  <c r="J281" i="14"/>
  <c r="T281" i="14"/>
  <c r="H281" i="14"/>
  <c r="A282" i="14"/>
  <c r="W281" i="14"/>
  <c r="Z281" i="14"/>
  <c r="F281" i="14"/>
  <c r="V281" i="14"/>
  <c r="E281" i="14"/>
  <c r="X281" i="14"/>
  <c r="I281" i="14"/>
  <c r="Y281" i="14"/>
  <c r="L79" i="14"/>
  <c r="Z79" i="14"/>
  <c r="J79" i="14"/>
  <c r="I79" i="14"/>
  <c r="F79" i="14"/>
  <c r="U79" i="14"/>
  <c r="T79" i="14"/>
  <c r="Y79" i="14"/>
  <c r="K79" i="14"/>
  <c r="W79" i="14"/>
  <c r="X79" i="14"/>
  <c r="E79" i="14"/>
  <c r="V79" i="14"/>
  <c r="A80" i="14"/>
  <c r="H79" i="14"/>
  <c r="AA212" i="14"/>
  <c r="AA415" i="14" l="1"/>
  <c r="Y416" i="14"/>
  <c r="A417" i="14"/>
  <c r="V416" i="14"/>
  <c r="Q416" i="14"/>
  <c r="U416" i="14"/>
  <c r="H416" i="14"/>
  <c r="E416" i="14"/>
  <c r="T416" i="14"/>
  <c r="X416" i="14"/>
  <c r="N416" i="14"/>
  <c r="K416" i="14"/>
  <c r="O416" i="14"/>
  <c r="Z416" i="14"/>
  <c r="M416" i="14"/>
  <c r="I416" i="14"/>
  <c r="W416" i="14"/>
  <c r="F416" i="14"/>
  <c r="L416" i="14"/>
  <c r="R416" i="14"/>
  <c r="J416" i="14"/>
  <c r="G416" i="14"/>
  <c r="S416" i="14"/>
  <c r="Q114" i="14"/>
  <c r="S114" i="14"/>
  <c r="R114" i="14"/>
  <c r="Q248" i="14"/>
  <c r="S248" i="14"/>
  <c r="R248" i="14"/>
  <c r="Q147" i="14"/>
  <c r="S147" i="14"/>
  <c r="R147" i="14"/>
  <c r="Q383" i="14"/>
  <c r="R383" i="14"/>
  <c r="S383" i="14"/>
  <c r="Q315" i="14"/>
  <c r="R315" i="14"/>
  <c r="S315" i="14"/>
  <c r="Q282" i="14"/>
  <c r="R282" i="14"/>
  <c r="S282" i="14"/>
  <c r="Q214" i="14"/>
  <c r="R214" i="14"/>
  <c r="S214" i="14"/>
  <c r="Q17" i="14"/>
  <c r="R17" i="14"/>
  <c r="S17" i="14"/>
  <c r="Q349" i="14"/>
  <c r="R349" i="14"/>
  <c r="S349" i="14"/>
  <c r="Q80" i="14"/>
  <c r="R80" i="14"/>
  <c r="S80" i="14"/>
  <c r="Q181" i="14"/>
  <c r="R181" i="14"/>
  <c r="S181" i="14"/>
  <c r="Q49" i="14"/>
  <c r="R49" i="14"/>
  <c r="S49" i="14"/>
  <c r="N49" i="14"/>
  <c r="O49" i="14"/>
  <c r="N383" i="14"/>
  <c r="O383" i="14"/>
  <c r="O80" i="14"/>
  <c r="N80" i="14"/>
  <c r="N181" i="14"/>
  <c r="O181" i="14"/>
  <c r="N248" i="14"/>
  <c r="O248" i="14"/>
  <c r="N147" i="14"/>
  <c r="O147" i="14"/>
  <c r="N114" i="14"/>
  <c r="O114" i="14"/>
  <c r="N282" i="14"/>
  <c r="O282" i="14"/>
  <c r="N349" i="14"/>
  <c r="O349" i="14"/>
  <c r="O214" i="14"/>
  <c r="N214" i="14"/>
  <c r="G17" i="14"/>
  <c r="N17" i="14"/>
  <c r="O17" i="14"/>
  <c r="N315" i="14"/>
  <c r="O315" i="14"/>
  <c r="M49" i="14"/>
  <c r="G49" i="14"/>
  <c r="M383" i="14"/>
  <c r="G383" i="14"/>
  <c r="M80" i="14"/>
  <c r="G80" i="14"/>
  <c r="M248" i="14"/>
  <c r="G248" i="14"/>
  <c r="M282" i="14"/>
  <c r="G282" i="14"/>
  <c r="M147" i="14"/>
  <c r="G147" i="14"/>
  <c r="M181" i="14"/>
  <c r="G181" i="14"/>
  <c r="M114" i="14"/>
  <c r="G114" i="14"/>
  <c r="M214" i="14"/>
  <c r="G214" i="14"/>
  <c r="M315" i="14"/>
  <c r="G315" i="14"/>
  <c r="M349" i="14"/>
  <c r="G349" i="14"/>
  <c r="M17" i="14"/>
  <c r="U248" i="14"/>
  <c r="K248" i="14"/>
  <c r="A249" i="14"/>
  <c r="L248" i="14"/>
  <c r="T248" i="14"/>
  <c r="E248" i="14"/>
  <c r="I248" i="14"/>
  <c r="X248" i="14"/>
  <c r="Z248" i="14"/>
  <c r="Y248" i="14"/>
  <c r="V248" i="14"/>
  <c r="W248" i="14"/>
  <c r="J248" i="14"/>
  <c r="H248" i="14"/>
  <c r="F248" i="14"/>
  <c r="AA16" i="14"/>
  <c r="L282" i="14"/>
  <c r="Z282" i="14"/>
  <c r="H282" i="14"/>
  <c r="Y282" i="14"/>
  <c r="K282" i="14"/>
  <c r="E282" i="14"/>
  <c r="T282" i="14"/>
  <c r="I282" i="14"/>
  <c r="J282" i="14"/>
  <c r="V282" i="14"/>
  <c r="X282" i="14"/>
  <c r="U282" i="14"/>
  <c r="A283" i="14"/>
  <c r="F282" i="14"/>
  <c r="W282" i="14"/>
  <c r="H349" i="14"/>
  <c r="K349" i="14"/>
  <c r="T349" i="14"/>
  <c r="E349" i="14"/>
  <c r="A350" i="14"/>
  <c r="L349" i="14"/>
  <c r="J349" i="14"/>
  <c r="V349" i="14"/>
  <c r="Z349" i="14"/>
  <c r="Y349" i="14"/>
  <c r="I349" i="14"/>
  <c r="X349" i="14"/>
  <c r="F349" i="14"/>
  <c r="W349" i="14"/>
  <c r="U349" i="14"/>
  <c r="AA79" i="14"/>
  <c r="AA382" i="14"/>
  <c r="AA48" i="14"/>
  <c r="AA146" i="14"/>
  <c r="T17" i="14"/>
  <c r="V17" i="14"/>
  <c r="X17" i="14"/>
  <c r="H17" i="14"/>
  <c r="A18" i="14"/>
  <c r="U17" i="14"/>
  <c r="F17" i="14"/>
  <c r="E17" i="14"/>
  <c r="L17" i="14"/>
  <c r="W17" i="14"/>
  <c r="I17" i="14"/>
  <c r="J17" i="14"/>
  <c r="K17" i="14"/>
  <c r="Y17" i="14"/>
  <c r="Z17" i="14"/>
  <c r="AA180" i="14"/>
  <c r="X315" i="14"/>
  <c r="H315" i="14"/>
  <c r="Z315" i="14"/>
  <c r="E315" i="14"/>
  <c r="Y315" i="14"/>
  <c r="F315" i="14"/>
  <c r="K315" i="14"/>
  <c r="L315" i="14"/>
  <c r="A316" i="14"/>
  <c r="U315" i="14"/>
  <c r="V315" i="14"/>
  <c r="T315" i="14"/>
  <c r="I315" i="14"/>
  <c r="J315" i="14"/>
  <c r="W315" i="14"/>
  <c r="AA113" i="14"/>
  <c r="AA213" i="14"/>
  <c r="AA314" i="14"/>
  <c r="AA247" i="14"/>
  <c r="AA348" i="14"/>
  <c r="AA281" i="14"/>
  <c r="J181" i="14"/>
  <c r="W181" i="14"/>
  <c r="K181" i="14"/>
  <c r="L181" i="14"/>
  <c r="V181" i="14"/>
  <c r="A182" i="14"/>
  <c r="F181" i="14"/>
  <c r="E181" i="14"/>
  <c r="H181" i="14"/>
  <c r="X181" i="14"/>
  <c r="T181" i="14"/>
  <c r="Y181" i="14"/>
  <c r="I181" i="14"/>
  <c r="Z181" i="14"/>
  <c r="U181" i="14"/>
  <c r="H114" i="14"/>
  <c r="E114" i="14"/>
  <c r="W114" i="14"/>
  <c r="T114" i="14"/>
  <c r="Y114" i="14"/>
  <c r="I114" i="14"/>
  <c r="U114" i="14"/>
  <c r="V114" i="14"/>
  <c r="K114" i="14"/>
  <c r="L114" i="14"/>
  <c r="J114" i="14"/>
  <c r="F114" i="14"/>
  <c r="X114" i="14"/>
  <c r="A115" i="14"/>
  <c r="Z114" i="14"/>
  <c r="X80" i="14"/>
  <c r="W80" i="14"/>
  <c r="K80" i="14"/>
  <c r="E80" i="14"/>
  <c r="T80" i="14"/>
  <c r="V80" i="14"/>
  <c r="F80" i="14"/>
  <c r="Y80" i="14"/>
  <c r="U80" i="14"/>
  <c r="Z80" i="14"/>
  <c r="I80" i="14"/>
  <c r="J80" i="14"/>
  <c r="A81" i="14"/>
  <c r="H80" i="14"/>
  <c r="L80" i="14"/>
  <c r="E214" i="14"/>
  <c r="A215" i="14"/>
  <c r="I214" i="14"/>
  <c r="Y214" i="14"/>
  <c r="V214" i="14"/>
  <c r="Z214" i="14"/>
  <c r="F214" i="14"/>
  <c r="L214" i="14"/>
  <c r="X214" i="14"/>
  <c r="W214" i="14"/>
  <c r="J214" i="14"/>
  <c r="H214" i="14"/>
  <c r="U214" i="14"/>
  <c r="T214" i="14"/>
  <c r="K214" i="14"/>
  <c r="Y147" i="14"/>
  <c r="F147" i="14"/>
  <c r="X147" i="14"/>
  <c r="W147" i="14"/>
  <c r="A148" i="14"/>
  <c r="I147" i="14"/>
  <c r="Z147" i="14"/>
  <c r="T147" i="14"/>
  <c r="U147" i="14"/>
  <c r="H147" i="14"/>
  <c r="J147" i="14"/>
  <c r="E147" i="14"/>
  <c r="L147" i="14"/>
  <c r="V147" i="14"/>
  <c r="K147" i="14"/>
  <c r="F383" i="14"/>
  <c r="V383" i="14"/>
  <c r="T383" i="14"/>
  <c r="J383" i="14"/>
  <c r="W383" i="14"/>
  <c r="U383" i="14"/>
  <c r="Z383" i="14"/>
  <c r="L383" i="14"/>
  <c r="H383" i="14"/>
  <c r="A384" i="14"/>
  <c r="Y383" i="14"/>
  <c r="E383" i="14"/>
  <c r="I383" i="14"/>
  <c r="K383" i="14"/>
  <c r="X383" i="14"/>
  <c r="T49" i="14"/>
  <c r="U49" i="14"/>
  <c r="F49" i="14"/>
  <c r="X49" i="14"/>
  <c r="V49" i="14"/>
  <c r="A50" i="14"/>
  <c r="W49" i="14"/>
  <c r="J49" i="14"/>
  <c r="H49" i="14"/>
  <c r="K49" i="14"/>
  <c r="E49" i="14"/>
  <c r="Z49" i="14"/>
  <c r="L49" i="14"/>
  <c r="Y49" i="14"/>
  <c r="I49" i="14"/>
  <c r="AA416" i="14" l="1"/>
  <c r="O417" i="14"/>
  <c r="J417" i="14"/>
  <c r="H417" i="14"/>
  <c r="X417" i="14"/>
  <c r="F417" i="14"/>
  <c r="Q417" i="14"/>
  <c r="E417" i="14"/>
  <c r="W417" i="14"/>
  <c r="U417" i="14"/>
  <c r="A418" i="14"/>
  <c r="V417" i="14"/>
  <c r="L417" i="14"/>
  <c r="N417" i="14"/>
  <c r="T417" i="14"/>
  <c r="R417" i="14"/>
  <c r="Y417" i="14"/>
  <c r="S417" i="14"/>
  <c r="M417" i="14"/>
  <c r="I417" i="14"/>
  <c r="Z417" i="14"/>
  <c r="K417" i="14"/>
  <c r="G417" i="14"/>
  <c r="Q384" i="14"/>
  <c r="S384" i="14"/>
  <c r="R384" i="14"/>
  <c r="Q316" i="14"/>
  <c r="R316" i="14"/>
  <c r="S316" i="14"/>
  <c r="Q18" i="14"/>
  <c r="R18" i="14"/>
  <c r="S18" i="14"/>
  <c r="Q148" i="14"/>
  <c r="R148" i="14"/>
  <c r="S148" i="14"/>
  <c r="Q115" i="14"/>
  <c r="S115" i="14"/>
  <c r="R115" i="14"/>
  <c r="Q350" i="14"/>
  <c r="R350" i="14"/>
  <c r="S350" i="14"/>
  <c r="Q249" i="14"/>
  <c r="R249" i="14"/>
  <c r="S249" i="14"/>
  <c r="Q215" i="14"/>
  <c r="S215" i="14"/>
  <c r="R215" i="14"/>
  <c r="Q81" i="14"/>
  <c r="R81" i="14"/>
  <c r="S81" i="14"/>
  <c r="Q50" i="14"/>
  <c r="S50" i="14"/>
  <c r="R50" i="14"/>
  <c r="Q182" i="14"/>
  <c r="S182" i="14"/>
  <c r="R182" i="14"/>
  <c r="Q283" i="14"/>
  <c r="S283" i="14"/>
  <c r="R283" i="14"/>
  <c r="N384" i="14"/>
  <c r="O384" i="14"/>
  <c r="N316" i="14"/>
  <c r="O316" i="14"/>
  <c r="O182" i="14"/>
  <c r="N182" i="14"/>
  <c r="N148" i="14"/>
  <c r="O148" i="14"/>
  <c r="O215" i="14"/>
  <c r="N215" i="14"/>
  <c r="G18" i="14"/>
  <c r="O18" i="14"/>
  <c r="N18" i="14"/>
  <c r="N350" i="14"/>
  <c r="O350" i="14"/>
  <c r="O249" i="14"/>
  <c r="N249" i="14"/>
  <c r="N283" i="14"/>
  <c r="O283" i="14"/>
  <c r="O81" i="14"/>
  <c r="N81" i="14"/>
  <c r="O50" i="14"/>
  <c r="N50" i="14"/>
  <c r="O115" i="14"/>
  <c r="N115" i="14"/>
  <c r="M182" i="14"/>
  <c r="G182" i="14"/>
  <c r="M316" i="14"/>
  <c r="G316" i="14"/>
  <c r="M249" i="14"/>
  <c r="G249" i="14"/>
  <c r="M115" i="14"/>
  <c r="G115" i="14"/>
  <c r="M81" i="14"/>
  <c r="G81" i="14"/>
  <c r="M283" i="14"/>
  <c r="G283" i="14"/>
  <c r="M215" i="14"/>
  <c r="G215" i="14"/>
  <c r="M384" i="14"/>
  <c r="G384" i="14"/>
  <c r="M50" i="14"/>
  <c r="G50" i="14"/>
  <c r="M148" i="14"/>
  <c r="G148" i="14"/>
  <c r="M350" i="14"/>
  <c r="G350" i="14"/>
  <c r="M18" i="14"/>
  <c r="AA349" i="14"/>
  <c r="AA282" i="14"/>
  <c r="AA248" i="14"/>
  <c r="E350" i="14"/>
  <c r="Y350" i="14"/>
  <c r="F350" i="14"/>
  <c r="L350" i="14"/>
  <c r="W350" i="14"/>
  <c r="Z350" i="14"/>
  <c r="I350" i="14"/>
  <c r="H350" i="14"/>
  <c r="K350" i="14"/>
  <c r="T350" i="14"/>
  <c r="X350" i="14"/>
  <c r="J350" i="14"/>
  <c r="A351" i="14"/>
  <c r="V350" i="14"/>
  <c r="U350" i="14"/>
  <c r="AA315" i="14"/>
  <c r="AA17" i="14"/>
  <c r="Z249" i="14"/>
  <c r="X249" i="14"/>
  <c r="U249" i="14"/>
  <c r="I249" i="14"/>
  <c r="T249" i="14"/>
  <c r="A250" i="14"/>
  <c r="J249" i="14"/>
  <c r="V249" i="14"/>
  <c r="E249" i="14"/>
  <c r="F249" i="14"/>
  <c r="L249" i="14"/>
  <c r="K249" i="14"/>
  <c r="W249" i="14"/>
  <c r="Y249" i="14"/>
  <c r="H249" i="14"/>
  <c r="K115" i="14"/>
  <c r="V115" i="14"/>
  <c r="H115" i="14"/>
  <c r="Y115" i="14"/>
  <c r="E115" i="14"/>
  <c r="F115" i="14"/>
  <c r="L115" i="14"/>
  <c r="W115" i="14"/>
  <c r="T115" i="14"/>
  <c r="X115" i="14"/>
  <c r="I115" i="14"/>
  <c r="U115" i="14"/>
  <c r="Z115" i="14"/>
  <c r="J115" i="14"/>
  <c r="A116" i="14"/>
  <c r="H283" i="14"/>
  <c r="F283" i="14"/>
  <c r="E283" i="14"/>
  <c r="Y283" i="14"/>
  <c r="Z283" i="14"/>
  <c r="W283" i="14"/>
  <c r="K283" i="14"/>
  <c r="X283" i="14"/>
  <c r="J283" i="14"/>
  <c r="U283" i="14"/>
  <c r="L283" i="14"/>
  <c r="A284" i="14"/>
  <c r="I283" i="14"/>
  <c r="V283" i="14"/>
  <c r="T283" i="14"/>
  <c r="AA181" i="14"/>
  <c r="Z18" i="14"/>
  <c r="Y18" i="14"/>
  <c r="F18" i="14"/>
  <c r="A19" i="14"/>
  <c r="K18" i="14"/>
  <c r="E18" i="14"/>
  <c r="L18" i="14"/>
  <c r="W18" i="14"/>
  <c r="U18" i="14"/>
  <c r="T18" i="14"/>
  <c r="I18" i="14"/>
  <c r="V18" i="14"/>
  <c r="X18" i="14"/>
  <c r="J18" i="14"/>
  <c r="H18" i="14"/>
  <c r="W316" i="14"/>
  <c r="X316" i="14"/>
  <c r="E316" i="14"/>
  <c r="Y316" i="14"/>
  <c r="T316" i="14"/>
  <c r="F316" i="14"/>
  <c r="A317" i="14"/>
  <c r="J316" i="14"/>
  <c r="K316" i="14"/>
  <c r="V316" i="14"/>
  <c r="H316" i="14"/>
  <c r="Z316" i="14"/>
  <c r="U316" i="14"/>
  <c r="I316" i="14"/>
  <c r="L316" i="14"/>
  <c r="E215" i="14"/>
  <c r="X215" i="14"/>
  <c r="V215" i="14"/>
  <c r="H215" i="14"/>
  <c r="T215" i="14"/>
  <c r="Y215" i="14"/>
  <c r="A216" i="14"/>
  <c r="I215" i="14"/>
  <c r="F215" i="14"/>
  <c r="W215" i="14"/>
  <c r="K215" i="14"/>
  <c r="J215" i="14"/>
  <c r="Z215" i="14"/>
  <c r="U215" i="14"/>
  <c r="L215" i="14"/>
  <c r="AA80" i="14"/>
  <c r="W81" i="14"/>
  <c r="K81" i="14"/>
  <c r="A82" i="14"/>
  <c r="V81" i="14"/>
  <c r="L81" i="14"/>
  <c r="F81" i="14"/>
  <c r="E81" i="14"/>
  <c r="Y81" i="14"/>
  <c r="T81" i="14"/>
  <c r="I81" i="14"/>
  <c r="J81" i="14"/>
  <c r="U81" i="14"/>
  <c r="H81" i="14"/>
  <c r="X81" i="14"/>
  <c r="Z81" i="14"/>
  <c r="AA49" i="14"/>
  <c r="A385" i="14"/>
  <c r="X384" i="14"/>
  <c r="V384" i="14"/>
  <c r="T384" i="14"/>
  <c r="Y384" i="14"/>
  <c r="W384" i="14"/>
  <c r="F384" i="14"/>
  <c r="I384" i="14"/>
  <c r="U384" i="14"/>
  <c r="E384" i="14"/>
  <c r="L384" i="14"/>
  <c r="H384" i="14"/>
  <c r="Z384" i="14"/>
  <c r="K384" i="14"/>
  <c r="AA214" i="14"/>
  <c r="V182" i="14"/>
  <c r="W182" i="14"/>
  <c r="E182" i="14"/>
  <c r="F182" i="14"/>
  <c r="Z182" i="14"/>
  <c r="H182" i="14"/>
  <c r="I182" i="14"/>
  <c r="J182" i="14"/>
  <c r="T182" i="14"/>
  <c r="L182" i="14"/>
  <c r="A183" i="14"/>
  <c r="K182" i="14"/>
  <c r="Y182" i="14"/>
  <c r="X182" i="14"/>
  <c r="U182" i="14"/>
  <c r="AA383" i="14"/>
  <c r="Y148" i="14"/>
  <c r="U148" i="14"/>
  <c r="E148" i="14"/>
  <c r="V148" i="14"/>
  <c r="I148" i="14"/>
  <c r="X148" i="14"/>
  <c r="J148" i="14"/>
  <c r="K148" i="14"/>
  <c r="Z148" i="14"/>
  <c r="W148" i="14"/>
  <c r="T148" i="14"/>
  <c r="H148" i="14"/>
  <c r="F148" i="14"/>
  <c r="A149" i="14"/>
  <c r="L148" i="14"/>
  <c r="K50" i="14"/>
  <c r="F50" i="14"/>
  <c r="A51" i="14"/>
  <c r="U50" i="14"/>
  <c r="L50" i="14"/>
  <c r="V50" i="14"/>
  <c r="Z50" i="14"/>
  <c r="T50" i="14"/>
  <c r="W50" i="14"/>
  <c r="E50" i="14"/>
  <c r="H50" i="14"/>
  <c r="Y50" i="14"/>
  <c r="X50" i="14"/>
  <c r="I50" i="14"/>
  <c r="J50" i="14"/>
  <c r="AA147" i="14"/>
  <c r="AA114" i="14"/>
  <c r="AA417" i="14" l="1"/>
  <c r="A419" i="14"/>
  <c r="Z418" i="14"/>
  <c r="F418" i="14"/>
  <c r="T418" i="14"/>
  <c r="N418" i="14"/>
  <c r="E418" i="14"/>
  <c r="K418" i="14"/>
  <c r="Y418" i="14"/>
  <c r="V418" i="14"/>
  <c r="U418" i="14"/>
  <c r="M418" i="14"/>
  <c r="R418" i="14"/>
  <c r="J418" i="14"/>
  <c r="X418" i="14"/>
  <c r="Q418" i="14"/>
  <c r="L418" i="14"/>
  <c r="G418" i="14"/>
  <c r="I418" i="14"/>
  <c r="H418" i="14"/>
  <c r="S418" i="14"/>
  <c r="W418" i="14"/>
  <c r="O418" i="14"/>
  <c r="Q250" i="14"/>
  <c r="S250" i="14"/>
  <c r="R250" i="14"/>
  <c r="Q82" i="14"/>
  <c r="R82" i="14"/>
  <c r="S82" i="14"/>
  <c r="Q116" i="14"/>
  <c r="S116" i="14"/>
  <c r="R116" i="14"/>
  <c r="Q183" i="14"/>
  <c r="R183" i="14"/>
  <c r="S183" i="14"/>
  <c r="Q385" i="14"/>
  <c r="S385" i="14"/>
  <c r="R385" i="14"/>
  <c r="Q351" i="14"/>
  <c r="S351" i="14"/>
  <c r="R351" i="14"/>
  <c r="Q19" i="14"/>
  <c r="R19" i="14"/>
  <c r="S19" i="14"/>
  <c r="Q149" i="14"/>
  <c r="S149" i="14"/>
  <c r="R149" i="14"/>
  <c r="Q284" i="14"/>
  <c r="R284" i="14"/>
  <c r="S284" i="14"/>
  <c r="Q317" i="14"/>
  <c r="S317" i="14"/>
  <c r="R317" i="14"/>
  <c r="Q216" i="14"/>
  <c r="R216" i="14"/>
  <c r="S216" i="14"/>
  <c r="Q51" i="14"/>
  <c r="R51" i="14"/>
  <c r="S51" i="14"/>
  <c r="N183" i="14"/>
  <c r="O183" i="14"/>
  <c r="O250" i="14"/>
  <c r="N250" i="14"/>
  <c r="N351" i="14"/>
  <c r="O351" i="14"/>
  <c r="O216" i="14"/>
  <c r="N216" i="14"/>
  <c r="N317" i="14"/>
  <c r="O317" i="14"/>
  <c r="O82" i="14"/>
  <c r="N82" i="14"/>
  <c r="O51" i="14"/>
  <c r="N51" i="14"/>
  <c r="N116" i="14"/>
  <c r="O116" i="14"/>
  <c r="G19" i="14"/>
  <c r="N19" i="14"/>
  <c r="O19" i="14"/>
  <c r="N385" i="14"/>
  <c r="O385" i="14"/>
  <c r="O149" i="14"/>
  <c r="N149" i="14"/>
  <c r="N284" i="14"/>
  <c r="O284" i="14"/>
  <c r="M116" i="14"/>
  <c r="G116" i="14"/>
  <c r="M317" i="14"/>
  <c r="G317" i="14"/>
  <c r="M284" i="14"/>
  <c r="G284" i="14"/>
  <c r="M385" i="14"/>
  <c r="G385" i="14"/>
  <c r="M82" i="14"/>
  <c r="G82" i="14"/>
  <c r="M351" i="14"/>
  <c r="G351" i="14"/>
  <c r="M149" i="14"/>
  <c r="G149" i="14"/>
  <c r="M183" i="14"/>
  <c r="G183" i="14"/>
  <c r="M250" i="14"/>
  <c r="G250" i="14"/>
  <c r="M216" i="14"/>
  <c r="G216" i="14"/>
  <c r="M51" i="14"/>
  <c r="G51" i="14"/>
  <c r="M19" i="14"/>
  <c r="L216" i="14"/>
  <c r="E216" i="14"/>
  <c r="A217" i="14"/>
  <c r="Y216" i="14"/>
  <c r="K216" i="14"/>
  <c r="U216" i="14"/>
  <c r="V216" i="14"/>
  <c r="T216" i="14"/>
  <c r="X216" i="14"/>
  <c r="W216" i="14"/>
  <c r="Z216" i="14"/>
  <c r="J216" i="14"/>
  <c r="F216" i="14"/>
  <c r="H216" i="14"/>
  <c r="I216" i="14"/>
  <c r="Z116" i="14"/>
  <c r="H116" i="14"/>
  <c r="L116" i="14"/>
  <c r="A117" i="14"/>
  <c r="I116" i="14"/>
  <c r="E116" i="14"/>
  <c r="F116" i="14"/>
  <c r="W116" i="14"/>
  <c r="V116" i="14"/>
  <c r="T116" i="14"/>
  <c r="K116" i="14"/>
  <c r="U116" i="14"/>
  <c r="X116" i="14"/>
  <c r="Y116" i="14"/>
  <c r="J116" i="14"/>
  <c r="Y385" i="14"/>
  <c r="U385" i="14"/>
  <c r="H385" i="14"/>
  <c r="K385" i="14"/>
  <c r="I385" i="14"/>
  <c r="V385" i="14"/>
  <c r="X385" i="14"/>
  <c r="F385" i="14"/>
  <c r="T385" i="14"/>
  <c r="Z385" i="14"/>
  <c r="L385" i="14"/>
  <c r="E385" i="14"/>
  <c r="A386" i="14"/>
  <c r="W385" i="14"/>
  <c r="J385" i="14"/>
  <c r="AA18" i="14"/>
  <c r="AA148" i="14"/>
  <c r="AA316" i="14"/>
  <c r="AA249" i="14"/>
  <c r="AA350" i="14"/>
  <c r="U284" i="14"/>
  <c r="I284" i="14"/>
  <c r="W284" i="14"/>
  <c r="Z284" i="14"/>
  <c r="J284" i="14"/>
  <c r="T284" i="14"/>
  <c r="K284" i="14"/>
  <c r="L284" i="14"/>
  <c r="A285" i="14"/>
  <c r="Y284" i="14"/>
  <c r="V284" i="14"/>
  <c r="X284" i="14"/>
  <c r="E284" i="14"/>
  <c r="F284" i="14"/>
  <c r="H284" i="14"/>
  <c r="F149" i="14"/>
  <c r="H149" i="14"/>
  <c r="I149" i="14"/>
  <c r="J149" i="14"/>
  <c r="Z149" i="14"/>
  <c r="U149" i="14"/>
  <c r="L149" i="14"/>
  <c r="A150" i="14"/>
  <c r="K149" i="14"/>
  <c r="X149" i="14"/>
  <c r="T149" i="14"/>
  <c r="E149" i="14"/>
  <c r="Y149" i="14"/>
  <c r="W149" i="14"/>
  <c r="V149" i="14"/>
  <c r="H82" i="14"/>
  <c r="I82" i="14"/>
  <c r="X82" i="14"/>
  <c r="L82" i="14"/>
  <c r="Z82" i="14"/>
  <c r="T82" i="14"/>
  <c r="J82" i="14"/>
  <c r="E82" i="14"/>
  <c r="A83" i="14"/>
  <c r="U82" i="14"/>
  <c r="Y82" i="14"/>
  <c r="F82" i="14"/>
  <c r="V82" i="14"/>
  <c r="K82" i="14"/>
  <c r="W82" i="14"/>
  <c r="AA215" i="14"/>
  <c r="F19" i="14"/>
  <c r="W19" i="14"/>
  <c r="U19" i="14"/>
  <c r="Z19" i="14"/>
  <c r="A20" i="14"/>
  <c r="L19" i="14"/>
  <c r="V19" i="14"/>
  <c r="I19" i="14"/>
  <c r="H19" i="14"/>
  <c r="E19" i="14"/>
  <c r="K19" i="14"/>
  <c r="J19" i="14"/>
  <c r="T19" i="14"/>
  <c r="Y19" i="14"/>
  <c r="X19" i="14"/>
  <c r="A251" i="14"/>
  <c r="J250" i="14"/>
  <c r="W250" i="14"/>
  <c r="H250" i="14"/>
  <c r="K250" i="14"/>
  <c r="V250" i="14"/>
  <c r="X250" i="14"/>
  <c r="I250" i="14"/>
  <c r="T250" i="14"/>
  <c r="U250" i="14"/>
  <c r="E250" i="14"/>
  <c r="Z250" i="14"/>
  <c r="F250" i="14"/>
  <c r="L250" i="14"/>
  <c r="Y250" i="14"/>
  <c r="H351" i="14"/>
  <c r="F351" i="14"/>
  <c r="J351" i="14"/>
  <c r="K351" i="14"/>
  <c r="I351" i="14"/>
  <c r="E351" i="14"/>
  <c r="W351" i="14"/>
  <c r="V351" i="14"/>
  <c r="X351" i="14"/>
  <c r="A352" i="14"/>
  <c r="Z351" i="14"/>
  <c r="L351" i="14"/>
  <c r="Y351" i="14"/>
  <c r="T351" i="14"/>
  <c r="U351" i="14"/>
  <c r="U317" i="14"/>
  <c r="V317" i="14"/>
  <c r="Z317" i="14"/>
  <c r="A318" i="14"/>
  <c r="X317" i="14"/>
  <c r="F317" i="14"/>
  <c r="W317" i="14"/>
  <c r="H317" i="14"/>
  <c r="E317" i="14"/>
  <c r="I317" i="14"/>
  <c r="T317" i="14"/>
  <c r="Y317" i="14"/>
  <c r="J317" i="14"/>
  <c r="K317" i="14"/>
  <c r="L317" i="14"/>
  <c r="AA115" i="14"/>
  <c r="I51" i="14"/>
  <c r="K51" i="14"/>
  <c r="X51" i="14"/>
  <c r="J51" i="14"/>
  <c r="A52" i="14"/>
  <c r="L51" i="14"/>
  <c r="U51" i="14"/>
  <c r="T51" i="14"/>
  <c r="Y51" i="14"/>
  <c r="W51" i="14"/>
  <c r="V51" i="14"/>
  <c r="F51" i="14"/>
  <c r="E51" i="14"/>
  <c r="Z51" i="14"/>
  <c r="H51" i="14"/>
  <c r="AA182" i="14"/>
  <c r="AA81" i="14"/>
  <c r="AA283" i="14"/>
  <c r="F183" i="14"/>
  <c r="E183" i="14"/>
  <c r="H183" i="14"/>
  <c r="T183" i="14"/>
  <c r="X183" i="14"/>
  <c r="W183" i="14"/>
  <c r="L183" i="14"/>
  <c r="K183" i="14"/>
  <c r="U183" i="14"/>
  <c r="A184" i="14"/>
  <c r="V183" i="14"/>
  <c r="Y183" i="14"/>
  <c r="I183" i="14"/>
  <c r="Z183" i="14"/>
  <c r="J183" i="14"/>
  <c r="AA384" i="14"/>
  <c r="AA50" i="14"/>
  <c r="AA418" i="14" l="1"/>
  <c r="O419" i="14"/>
  <c r="H419" i="14"/>
  <c r="S419" i="14"/>
  <c r="Z419" i="14"/>
  <c r="J419" i="14"/>
  <c r="N419" i="14"/>
  <c r="G419" i="14"/>
  <c r="W419" i="14"/>
  <c r="Y419" i="14"/>
  <c r="F419" i="14"/>
  <c r="M419" i="14"/>
  <c r="E419" i="14"/>
  <c r="X419" i="14"/>
  <c r="T419" i="14"/>
  <c r="I419" i="14"/>
  <c r="U419" i="14"/>
  <c r="Q419" i="14"/>
  <c r="K419" i="14"/>
  <c r="V419" i="14"/>
  <c r="L419" i="14"/>
  <c r="R419" i="14"/>
  <c r="A420" i="14"/>
  <c r="Q285" i="14"/>
  <c r="R285" i="14"/>
  <c r="S285" i="14"/>
  <c r="Q386" i="14"/>
  <c r="S386" i="14"/>
  <c r="R386" i="14"/>
  <c r="Q117" i="14"/>
  <c r="R117" i="14"/>
  <c r="S117" i="14"/>
  <c r="Q217" i="14"/>
  <c r="S217" i="14"/>
  <c r="R217" i="14"/>
  <c r="Q20" i="14"/>
  <c r="S20" i="14"/>
  <c r="R20" i="14"/>
  <c r="Q83" i="14"/>
  <c r="R83" i="14"/>
  <c r="S83" i="14"/>
  <c r="Q318" i="14"/>
  <c r="S318" i="14"/>
  <c r="R318" i="14"/>
  <c r="Q150" i="14"/>
  <c r="S150" i="14"/>
  <c r="R150" i="14"/>
  <c r="Q352" i="14"/>
  <c r="R352" i="14"/>
  <c r="S352" i="14"/>
  <c r="Q251" i="14"/>
  <c r="R251" i="14"/>
  <c r="S251" i="14"/>
  <c r="Q184" i="14"/>
  <c r="S184" i="14"/>
  <c r="R184" i="14"/>
  <c r="Q52" i="14"/>
  <c r="R52" i="14"/>
  <c r="S52" i="14"/>
  <c r="O83" i="14"/>
  <c r="N83" i="14"/>
  <c r="O150" i="14"/>
  <c r="N150" i="14"/>
  <c r="O285" i="14"/>
  <c r="N285" i="14"/>
  <c r="N184" i="14"/>
  <c r="O184" i="14"/>
  <c r="N386" i="14"/>
  <c r="O386" i="14"/>
  <c r="N352" i="14"/>
  <c r="O352" i="14"/>
  <c r="G20" i="14"/>
  <c r="N20" i="14"/>
  <c r="O20" i="14"/>
  <c r="O117" i="14"/>
  <c r="N117" i="14"/>
  <c r="N217" i="14"/>
  <c r="O217" i="14"/>
  <c r="O52" i="14"/>
  <c r="N52" i="14"/>
  <c r="N318" i="14"/>
  <c r="O318" i="14"/>
  <c r="O251" i="14"/>
  <c r="N251" i="14"/>
  <c r="M217" i="14"/>
  <c r="G217" i="14"/>
  <c r="M150" i="14"/>
  <c r="G150" i="14"/>
  <c r="M386" i="14"/>
  <c r="G386" i="14"/>
  <c r="M83" i="14"/>
  <c r="G83" i="14"/>
  <c r="M251" i="14"/>
  <c r="G251" i="14"/>
  <c r="M318" i="14"/>
  <c r="G318" i="14"/>
  <c r="M184" i="14"/>
  <c r="G184" i="14"/>
  <c r="M52" i="14"/>
  <c r="G52" i="14"/>
  <c r="M117" i="14"/>
  <c r="G117" i="14"/>
  <c r="M285" i="14"/>
  <c r="G285" i="14"/>
  <c r="M352" i="14"/>
  <c r="G352" i="14"/>
  <c r="M20" i="14"/>
  <c r="AA51" i="14"/>
  <c r="Y83" i="14"/>
  <c r="V83" i="14"/>
  <c r="Z83" i="14"/>
  <c r="A84" i="14"/>
  <c r="W83" i="14"/>
  <c r="X83" i="14"/>
  <c r="F83" i="14"/>
  <c r="U83" i="14"/>
  <c r="J83" i="14"/>
  <c r="H83" i="14"/>
  <c r="E83" i="14"/>
  <c r="K83" i="14"/>
  <c r="L83" i="14"/>
  <c r="I83" i="14"/>
  <c r="T83" i="14"/>
  <c r="AA116" i="14"/>
  <c r="E251" i="14"/>
  <c r="L251" i="14"/>
  <c r="W251" i="14"/>
  <c r="H251" i="14"/>
  <c r="T251" i="14"/>
  <c r="Y251" i="14"/>
  <c r="U251" i="14"/>
  <c r="A252" i="14"/>
  <c r="Z251" i="14"/>
  <c r="V251" i="14"/>
  <c r="K251" i="14"/>
  <c r="X251" i="14"/>
  <c r="F251" i="14"/>
  <c r="J251" i="14"/>
  <c r="I251" i="14"/>
  <c r="Z285" i="14"/>
  <c r="L285" i="14"/>
  <c r="F285" i="14"/>
  <c r="V285" i="14"/>
  <c r="I285" i="14"/>
  <c r="U285" i="14"/>
  <c r="A286" i="14"/>
  <c r="J285" i="14"/>
  <c r="H285" i="14"/>
  <c r="X285" i="14"/>
  <c r="T285" i="14"/>
  <c r="W285" i="14"/>
  <c r="E285" i="14"/>
  <c r="Y285" i="14"/>
  <c r="K285" i="14"/>
  <c r="V150" i="14"/>
  <c r="I150" i="14"/>
  <c r="W150" i="14"/>
  <c r="E150" i="14"/>
  <c r="Y150" i="14"/>
  <c r="J150" i="14"/>
  <c r="Z150" i="14"/>
  <c r="K150" i="14"/>
  <c r="U150" i="14"/>
  <c r="T150" i="14"/>
  <c r="A151" i="14"/>
  <c r="H150" i="14"/>
  <c r="X150" i="14"/>
  <c r="F150" i="14"/>
  <c r="L150" i="14"/>
  <c r="U117" i="14"/>
  <c r="H117" i="14"/>
  <c r="I117" i="14"/>
  <c r="T117" i="14"/>
  <c r="W117" i="14"/>
  <c r="A118" i="14"/>
  <c r="Y117" i="14"/>
  <c r="L117" i="14"/>
  <c r="V117" i="14"/>
  <c r="E117" i="14"/>
  <c r="F117" i="14"/>
  <c r="J117" i="14"/>
  <c r="X117" i="14"/>
  <c r="Z117" i="14"/>
  <c r="K117" i="14"/>
  <c r="H217" i="14"/>
  <c r="J217" i="14"/>
  <c r="X217" i="14"/>
  <c r="T217" i="14"/>
  <c r="W217" i="14"/>
  <c r="V217" i="14"/>
  <c r="E217" i="14"/>
  <c r="L217" i="14"/>
  <c r="Y217" i="14"/>
  <c r="Z217" i="14"/>
  <c r="F217" i="14"/>
  <c r="A218" i="14"/>
  <c r="I217" i="14"/>
  <c r="U217" i="14"/>
  <c r="K217" i="14"/>
  <c r="AA149" i="14"/>
  <c r="L20" i="14"/>
  <c r="V20" i="14"/>
  <c r="U20" i="14"/>
  <c r="W20" i="14"/>
  <c r="T20" i="14"/>
  <c r="I20" i="14"/>
  <c r="F20" i="14"/>
  <c r="X20" i="14"/>
  <c r="Z20" i="14"/>
  <c r="E20" i="14"/>
  <c r="K20" i="14"/>
  <c r="J20" i="14"/>
  <c r="A21" i="14"/>
  <c r="Y20" i="14"/>
  <c r="H20" i="14"/>
  <c r="AA183" i="14"/>
  <c r="U386" i="14"/>
  <c r="W386" i="14"/>
  <c r="Y386" i="14"/>
  <c r="I386" i="14"/>
  <c r="F386" i="14"/>
  <c r="K386" i="14"/>
  <c r="Z386" i="14"/>
  <c r="L386" i="14"/>
  <c r="H386" i="14"/>
  <c r="X386" i="14"/>
  <c r="T386" i="14"/>
  <c r="E386" i="14"/>
  <c r="V386" i="14"/>
  <c r="A387" i="14"/>
  <c r="J386" i="14"/>
  <c r="AA216" i="14"/>
  <c r="AA385" i="14"/>
  <c r="F352" i="14"/>
  <c r="V352" i="14"/>
  <c r="I352" i="14"/>
  <c r="J352" i="14"/>
  <c r="W352" i="14"/>
  <c r="T352" i="14"/>
  <c r="A353" i="14"/>
  <c r="Y352" i="14"/>
  <c r="K352" i="14"/>
  <c r="X352" i="14"/>
  <c r="E352" i="14"/>
  <c r="H352" i="14"/>
  <c r="Z352" i="14"/>
  <c r="L352" i="14"/>
  <c r="U352" i="14"/>
  <c r="K52" i="14"/>
  <c r="X52" i="14"/>
  <c r="Z52" i="14"/>
  <c r="E52" i="14"/>
  <c r="H52" i="14"/>
  <c r="A53" i="14"/>
  <c r="Y52" i="14"/>
  <c r="L52" i="14"/>
  <c r="I52" i="14"/>
  <c r="V52" i="14"/>
  <c r="T52" i="14"/>
  <c r="F52" i="14"/>
  <c r="W52" i="14"/>
  <c r="U52" i="14"/>
  <c r="J52" i="14"/>
  <c r="AA284" i="14"/>
  <c r="AA82" i="14"/>
  <c r="H318" i="14"/>
  <c r="I318" i="14"/>
  <c r="Z318" i="14"/>
  <c r="L318" i="14"/>
  <c r="T318" i="14"/>
  <c r="J318" i="14"/>
  <c r="X318" i="14"/>
  <c r="U318" i="14"/>
  <c r="Y318" i="14"/>
  <c r="V318" i="14"/>
  <c r="A319" i="14"/>
  <c r="K318" i="14"/>
  <c r="F318" i="14"/>
  <c r="W318" i="14"/>
  <c r="E318" i="14"/>
  <c r="AA317" i="14"/>
  <c r="AA250" i="14"/>
  <c r="T184" i="14"/>
  <c r="Z184" i="14"/>
  <c r="U184" i="14"/>
  <c r="F184" i="14"/>
  <c r="X184" i="14"/>
  <c r="E184" i="14"/>
  <c r="V184" i="14"/>
  <c r="A185" i="14"/>
  <c r="H184" i="14"/>
  <c r="J184" i="14"/>
  <c r="W184" i="14"/>
  <c r="Y184" i="14"/>
  <c r="I184" i="14"/>
  <c r="K184" i="14"/>
  <c r="L184" i="14"/>
  <c r="AA351" i="14"/>
  <c r="AA19" i="14"/>
  <c r="AA419" i="14" l="1"/>
  <c r="Z420" i="14"/>
  <c r="E420" i="14"/>
  <c r="U420" i="14"/>
  <c r="I420" i="14"/>
  <c r="M420" i="14"/>
  <c r="T420" i="14"/>
  <c r="Y420" i="14"/>
  <c r="S420" i="14"/>
  <c r="W420" i="14"/>
  <c r="K420" i="14"/>
  <c r="X420" i="14"/>
  <c r="J420" i="14"/>
  <c r="R420" i="14"/>
  <c r="A421" i="14"/>
  <c r="H420" i="14"/>
  <c r="L420" i="14"/>
  <c r="O420" i="14"/>
  <c r="Q420" i="14"/>
  <c r="F420" i="14"/>
  <c r="G420" i="14"/>
  <c r="V420" i="14"/>
  <c r="N420" i="14"/>
  <c r="Q387" i="14"/>
  <c r="S387" i="14"/>
  <c r="R387" i="14"/>
  <c r="Q252" i="14"/>
  <c r="S252" i="14"/>
  <c r="R252" i="14"/>
  <c r="Q286" i="14"/>
  <c r="S286" i="14"/>
  <c r="R286" i="14"/>
  <c r="Q84" i="14"/>
  <c r="R84" i="14"/>
  <c r="S84" i="14"/>
  <c r="Q118" i="14"/>
  <c r="R118" i="14"/>
  <c r="S118" i="14"/>
  <c r="Q151" i="14"/>
  <c r="R151" i="14"/>
  <c r="S151" i="14"/>
  <c r="Q185" i="14"/>
  <c r="S185" i="14"/>
  <c r="R185" i="14"/>
  <c r="Q218" i="14"/>
  <c r="R218" i="14"/>
  <c r="S218" i="14"/>
  <c r="Q21" i="14"/>
  <c r="S21" i="14"/>
  <c r="R21" i="14"/>
  <c r="Q319" i="14"/>
  <c r="S319" i="14"/>
  <c r="R319" i="14"/>
  <c r="Q353" i="14"/>
  <c r="S353" i="14"/>
  <c r="R353" i="14"/>
  <c r="Q53" i="14"/>
  <c r="S53" i="14"/>
  <c r="R53" i="14"/>
  <c r="N319" i="14"/>
  <c r="O319" i="14"/>
  <c r="N218" i="14"/>
  <c r="O218" i="14"/>
  <c r="O252" i="14"/>
  <c r="N252" i="14"/>
  <c r="O84" i="14"/>
  <c r="N84" i="14"/>
  <c r="G21" i="14"/>
  <c r="N21" i="14"/>
  <c r="O21" i="14"/>
  <c r="N185" i="14"/>
  <c r="O185" i="14"/>
  <c r="O286" i="14"/>
  <c r="N286" i="14"/>
  <c r="N118" i="14"/>
  <c r="O118" i="14"/>
  <c r="N151" i="14"/>
  <c r="O151" i="14"/>
  <c r="N53" i="14"/>
  <c r="O53" i="14"/>
  <c r="N353" i="14"/>
  <c r="O353" i="14"/>
  <c r="N387" i="14"/>
  <c r="O387" i="14"/>
  <c r="M353" i="14"/>
  <c r="G353" i="14"/>
  <c r="M218" i="14"/>
  <c r="G218" i="14"/>
  <c r="M84" i="14"/>
  <c r="G84" i="14"/>
  <c r="M151" i="14"/>
  <c r="G151" i="14"/>
  <c r="M185" i="14"/>
  <c r="G185" i="14"/>
  <c r="M319" i="14"/>
  <c r="G319" i="14"/>
  <c r="M53" i="14"/>
  <c r="G53" i="14"/>
  <c r="M118" i="14"/>
  <c r="G118" i="14"/>
  <c r="M286" i="14"/>
  <c r="G286" i="14"/>
  <c r="M252" i="14"/>
  <c r="G252" i="14"/>
  <c r="M387" i="14"/>
  <c r="G387" i="14"/>
  <c r="M21" i="14"/>
  <c r="AA318" i="14"/>
  <c r="AA83" i="14"/>
  <c r="U252" i="14"/>
  <c r="A253" i="14"/>
  <c r="F252" i="14"/>
  <c r="E252" i="14"/>
  <c r="V252" i="14"/>
  <c r="W252" i="14"/>
  <c r="I252" i="14"/>
  <c r="X252" i="14"/>
  <c r="T252" i="14"/>
  <c r="Y252" i="14"/>
  <c r="J252" i="14"/>
  <c r="L252" i="14"/>
  <c r="Z252" i="14"/>
  <c r="H252" i="14"/>
  <c r="K252" i="14"/>
  <c r="AA20" i="14"/>
  <c r="AA184" i="14"/>
  <c r="AA251" i="14"/>
  <c r="L21" i="14"/>
  <c r="K21" i="14"/>
  <c r="W21" i="14"/>
  <c r="U21" i="14"/>
  <c r="Z21" i="14"/>
  <c r="E21" i="14"/>
  <c r="F21" i="14"/>
  <c r="X21" i="14"/>
  <c r="V21" i="14"/>
  <c r="J21" i="14"/>
  <c r="H21" i="14"/>
  <c r="I21" i="14"/>
  <c r="Y21" i="14"/>
  <c r="A22" i="14"/>
  <c r="T21" i="14"/>
  <c r="T185" i="14"/>
  <c r="H185" i="14"/>
  <c r="I185" i="14"/>
  <c r="L185" i="14"/>
  <c r="K185" i="14"/>
  <c r="X185" i="14"/>
  <c r="J185" i="14"/>
  <c r="V185" i="14"/>
  <c r="Z185" i="14"/>
  <c r="W185" i="14"/>
  <c r="Y185" i="14"/>
  <c r="E185" i="14"/>
  <c r="A186" i="14"/>
  <c r="F185" i="14"/>
  <c r="U185" i="14"/>
  <c r="AA117" i="14"/>
  <c r="A85" i="14"/>
  <c r="Y84" i="14"/>
  <c r="U84" i="14"/>
  <c r="K84" i="14"/>
  <c r="W84" i="14"/>
  <c r="L84" i="14"/>
  <c r="E84" i="14"/>
  <c r="V84" i="14"/>
  <c r="X84" i="14"/>
  <c r="Z84" i="14"/>
  <c r="F84" i="14"/>
  <c r="H84" i="14"/>
  <c r="I84" i="14"/>
  <c r="J84" i="14"/>
  <c r="T84" i="14"/>
  <c r="AA52" i="14"/>
  <c r="AA285" i="14"/>
  <c r="A152" i="14"/>
  <c r="F151" i="14"/>
  <c r="W151" i="14"/>
  <c r="I151" i="14"/>
  <c r="T151" i="14"/>
  <c r="U151" i="14"/>
  <c r="V151" i="14"/>
  <c r="E151" i="14"/>
  <c r="Z151" i="14"/>
  <c r="X151" i="14"/>
  <c r="H151" i="14"/>
  <c r="Y151" i="14"/>
  <c r="K151" i="14"/>
  <c r="L151" i="14"/>
  <c r="J151" i="14"/>
  <c r="AA217" i="14"/>
  <c r="AA352" i="14"/>
  <c r="L387" i="14"/>
  <c r="E387" i="14"/>
  <c r="I387" i="14"/>
  <c r="W387" i="14"/>
  <c r="T387" i="14"/>
  <c r="X387" i="14"/>
  <c r="U387" i="14"/>
  <c r="A388" i="14"/>
  <c r="J387" i="14"/>
  <c r="F387" i="14"/>
  <c r="Y387" i="14"/>
  <c r="H387" i="14"/>
  <c r="Z387" i="14"/>
  <c r="K387" i="14"/>
  <c r="V387" i="14"/>
  <c r="I118" i="14"/>
  <c r="E118" i="14"/>
  <c r="T118" i="14"/>
  <c r="Z118" i="14"/>
  <c r="Y118" i="14"/>
  <c r="H118" i="14"/>
  <c r="J118" i="14"/>
  <c r="U118" i="14"/>
  <c r="K118" i="14"/>
  <c r="X118" i="14"/>
  <c r="W118" i="14"/>
  <c r="A119" i="14"/>
  <c r="V118" i="14"/>
  <c r="L118" i="14"/>
  <c r="F118" i="14"/>
  <c r="Y218" i="14"/>
  <c r="F218" i="14"/>
  <c r="U218" i="14"/>
  <c r="Z218" i="14"/>
  <c r="I218" i="14"/>
  <c r="J218" i="14"/>
  <c r="K218" i="14"/>
  <c r="V218" i="14"/>
  <c r="L218" i="14"/>
  <c r="A219" i="14"/>
  <c r="X218" i="14"/>
  <c r="W218" i="14"/>
  <c r="T218" i="14"/>
  <c r="H218" i="14"/>
  <c r="E218" i="14"/>
  <c r="V353" i="14"/>
  <c r="L353" i="14"/>
  <c r="W353" i="14"/>
  <c r="K353" i="14"/>
  <c r="Z353" i="14"/>
  <c r="H353" i="14"/>
  <c r="E353" i="14"/>
  <c r="A354" i="14"/>
  <c r="I353" i="14"/>
  <c r="F353" i="14"/>
  <c r="T353" i="14"/>
  <c r="U353" i="14"/>
  <c r="X353" i="14"/>
  <c r="Y353" i="14"/>
  <c r="J353" i="14"/>
  <c r="AA386" i="14"/>
  <c r="AA150" i="14"/>
  <c r="L319" i="14"/>
  <c r="Z319" i="14"/>
  <c r="Y319" i="14"/>
  <c r="T319" i="14"/>
  <c r="U319" i="14"/>
  <c r="H319" i="14"/>
  <c r="V319" i="14"/>
  <c r="A320" i="14"/>
  <c r="W319" i="14"/>
  <c r="I319" i="14"/>
  <c r="F319" i="14"/>
  <c r="E319" i="14"/>
  <c r="J319" i="14"/>
  <c r="X319" i="14"/>
  <c r="K319" i="14"/>
  <c r="H53" i="14"/>
  <c r="I53" i="14"/>
  <c r="J53" i="14"/>
  <c r="Z53" i="14"/>
  <c r="V53" i="14"/>
  <c r="F53" i="14"/>
  <c r="U53" i="14"/>
  <c r="W53" i="14"/>
  <c r="T53" i="14"/>
  <c r="E53" i="14"/>
  <c r="X53" i="14"/>
  <c r="K53" i="14"/>
  <c r="L53" i="14"/>
  <c r="Y53" i="14"/>
  <c r="A54" i="14"/>
  <c r="I286" i="14"/>
  <c r="X286" i="14"/>
  <c r="K286" i="14"/>
  <c r="V286" i="14"/>
  <c r="E286" i="14"/>
  <c r="Y286" i="14"/>
  <c r="J286" i="14"/>
  <c r="H286" i="14"/>
  <c r="T286" i="14"/>
  <c r="U286" i="14"/>
  <c r="A287" i="14"/>
  <c r="Z286" i="14"/>
  <c r="L286" i="14"/>
  <c r="F286" i="14"/>
  <c r="W286" i="14"/>
  <c r="AA420" i="14" l="1"/>
  <c r="Y421" i="14"/>
  <c r="Z421" i="14"/>
  <c r="U421" i="14"/>
  <c r="Q421" i="14"/>
  <c r="M421" i="14"/>
  <c r="F421" i="14"/>
  <c r="H421" i="14"/>
  <c r="X421" i="14"/>
  <c r="T421" i="14"/>
  <c r="A422" i="14"/>
  <c r="L421" i="14"/>
  <c r="O421" i="14"/>
  <c r="S421" i="14"/>
  <c r="W421" i="14"/>
  <c r="N421" i="14"/>
  <c r="I421" i="14"/>
  <c r="K421" i="14"/>
  <c r="E421" i="14"/>
  <c r="R421" i="14"/>
  <c r="G421" i="14"/>
  <c r="V421" i="14"/>
  <c r="J421" i="14"/>
  <c r="Q320" i="14"/>
  <c r="R320" i="14"/>
  <c r="S320" i="14"/>
  <c r="Q287" i="14"/>
  <c r="S287" i="14"/>
  <c r="R287" i="14"/>
  <c r="Q253" i="14"/>
  <c r="S253" i="14"/>
  <c r="R253" i="14"/>
  <c r="Q22" i="14"/>
  <c r="R22" i="14"/>
  <c r="S22" i="14"/>
  <c r="Q354" i="14"/>
  <c r="R354" i="14"/>
  <c r="S354" i="14"/>
  <c r="Q119" i="14"/>
  <c r="R119" i="14"/>
  <c r="S119" i="14"/>
  <c r="Q186" i="14"/>
  <c r="R186" i="14"/>
  <c r="S186" i="14"/>
  <c r="Q152" i="14"/>
  <c r="S152" i="14"/>
  <c r="R152" i="14"/>
  <c r="Q85" i="14"/>
  <c r="S85" i="14"/>
  <c r="R85" i="14"/>
  <c r="Q54" i="14"/>
  <c r="S54" i="14"/>
  <c r="R54" i="14"/>
  <c r="Q219" i="14"/>
  <c r="S219" i="14"/>
  <c r="R219" i="14"/>
  <c r="Q388" i="14"/>
  <c r="S388" i="14"/>
  <c r="R388" i="14"/>
  <c r="N354" i="14"/>
  <c r="O354" i="14"/>
  <c r="N219" i="14"/>
  <c r="O219" i="14"/>
  <c r="N388" i="14"/>
  <c r="O388" i="14"/>
  <c r="O287" i="14"/>
  <c r="N287" i="14"/>
  <c r="N152" i="14"/>
  <c r="O152" i="14"/>
  <c r="N320" i="14"/>
  <c r="O320" i="14"/>
  <c r="N85" i="14"/>
  <c r="O85" i="14"/>
  <c r="N253" i="14"/>
  <c r="O253" i="14"/>
  <c r="G22" i="14"/>
  <c r="N22" i="14"/>
  <c r="O22" i="14"/>
  <c r="N54" i="14"/>
  <c r="O54" i="14"/>
  <c r="N119" i="14"/>
  <c r="O119" i="14"/>
  <c r="N186" i="14"/>
  <c r="O186" i="14"/>
  <c r="M186" i="14"/>
  <c r="G186" i="14"/>
  <c r="M253" i="14"/>
  <c r="G253" i="14"/>
  <c r="M320" i="14"/>
  <c r="G320" i="14"/>
  <c r="M219" i="14"/>
  <c r="G219" i="14"/>
  <c r="M152" i="14"/>
  <c r="G152" i="14"/>
  <c r="M54" i="14"/>
  <c r="G54" i="14"/>
  <c r="M287" i="14"/>
  <c r="G287" i="14"/>
  <c r="M119" i="14"/>
  <c r="G119" i="14"/>
  <c r="M85" i="14"/>
  <c r="G85" i="14"/>
  <c r="M354" i="14"/>
  <c r="G354" i="14"/>
  <c r="M388" i="14"/>
  <c r="G388" i="14"/>
  <c r="M22" i="14"/>
  <c r="AA21" i="14"/>
  <c r="W388" i="14"/>
  <c r="L388" i="14"/>
  <c r="Y388" i="14"/>
  <c r="Z388" i="14"/>
  <c r="E388" i="14"/>
  <c r="H388" i="14"/>
  <c r="X388" i="14"/>
  <c r="T388" i="14"/>
  <c r="J388" i="14"/>
  <c r="V388" i="14"/>
  <c r="A389" i="14"/>
  <c r="U388" i="14"/>
  <c r="K388" i="14"/>
  <c r="F388" i="14"/>
  <c r="I388" i="14"/>
  <c r="L287" i="14"/>
  <c r="A288" i="14"/>
  <c r="W287" i="14"/>
  <c r="X287" i="14"/>
  <c r="T287" i="14"/>
  <c r="J287" i="14"/>
  <c r="K287" i="14"/>
  <c r="V287" i="14"/>
  <c r="I287" i="14"/>
  <c r="Y287" i="14"/>
  <c r="H287" i="14"/>
  <c r="E287" i="14"/>
  <c r="U287" i="14"/>
  <c r="Z287" i="14"/>
  <c r="F287" i="14"/>
  <c r="AA118" i="14"/>
  <c r="V186" i="14"/>
  <c r="L186" i="14"/>
  <c r="K186" i="14"/>
  <c r="I186" i="14"/>
  <c r="W186" i="14"/>
  <c r="A187" i="14"/>
  <c r="Z186" i="14"/>
  <c r="Y186" i="14"/>
  <c r="E186" i="14"/>
  <c r="X186" i="14"/>
  <c r="H186" i="14"/>
  <c r="F186" i="14"/>
  <c r="U186" i="14"/>
  <c r="T186" i="14"/>
  <c r="J186" i="14"/>
  <c r="AA185" i="14"/>
  <c r="AA252" i="14"/>
  <c r="W219" i="14"/>
  <c r="U219" i="14"/>
  <c r="K219" i="14"/>
  <c r="X219" i="14"/>
  <c r="J219" i="14"/>
  <c r="A220" i="14"/>
  <c r="F219" i="14"/>
  <c r="Y219" i="14"/>
  <c r="I219" i="14"/>
  <c r="Z219" i="14"/>
  <c r="T219" i="14"/>
  <c r="H219" i="14"/>
  <c r="L219" i="14"/>
  <c r="V219" i="14"/>
  <c r="E219" i="14"/>
  <c r="J22" i="14"/>
  <c r="Z22" i="14"/>
  <c r="L22" i="14"/>
  <c r="A23" i="14"/>
  <c r="Y22" i="14"/>
  <c r="V22" i="14"/>
  <c r="K22" i="14"/>
  <c r="W22" i="14"/>
  <c r="H22" i="14"/>
  <c r="U22" i="14"/>
  <c r="X22" i="14"/>
  <c r="E22" i="14"/>
  <c r="I22" i="14"/>
  <c r="T22" i="14"/>
  <c r="F22" i="14"/>
  <c r="AA319" i="14"/>
  <c r="AA387" i="14"/>
  <c r="J253" i="14"/>
  <c r="U253" i="14"/>
  <c r="F253" i="14"/>
  <c r="V253" i="14"/>
  <c r="E253" i="14"/>
  <c r="Z253" i="14"/>
  <c r="H253" i="14"/>
  <c r="I253" i="14"/>
  <c r="L253" i="14"/>
  <c r="T253" i="14"/>
  <c r="K253" i="14"/>
  <c r="X253" i="14"/>
  <c r="W253" i="14"/>
  <c r="Y253" i="14"/>
  <c r="A254" i="14"/>
  <c r="F85" i="14"/>
  <c r="X85" i="14"/>
  <c r="L85" i="14"/>
  <c r="A86" i="14"/>
  <c r="J85" i="14"/>
  <c r="Y85" i="14"/>
  <c r="U85" i="14"/>
  <c r="E85" i="14"/>
  <c r="Z85" i="14"/>
  <c r="W85" i="14"/>
  <c r="T85" i="14"/>
  <c r="H85" i="14"/>
  <c r="V85" i="14"/>
  <c r="K85" i="14"/>
  <c r="I85" i="14"/>
  <c r="H354" i="14"/>
  <c r="E354" i="14"/>
  <c r="F354" i="14"/>
  <c r="Y354" i="14"/>
  <c r="A355" i="14"/>
  <c r="L354" i="14"/>
  <c r="J354" i="14"/>
  <c r="W354" i="14"/>
  <c r="V354" i="14"/>
  <c r="Z354" i="14"/>
  <c r="X354" i="14"/>
  <c r="U354" i="14"/>
  <c r="K354" i="14"/>
  <c r="I354" i="14"/>
  <c r="T354" i="14"/>
  <c r="E119" i="14"/>
  <c r="U119" i="14"/>
  <c r="I119" i="14"/>
  <c r="Z119" i="14"/>
  <c r="F119" i="14"/>
  <c r="J119" i="14"/>
  <c r="Y119" i="14"/>
  <c r="T119" i="14"/>
  <c r="X119" i="14"/>
  <c r="A120" i="14"/>
  <c r="V119" i="14"/>
  <c r="K119" i="14"/>
  <c r="H119" i="14"/>
  <c r="W119" i="14"/>
  <c r="L119" i="14"/>
  <c r="AA84" i="14"/>
  <c r="AA53" i="14"/>
  <c r="AA218" i="14"/>
  <c r="AA353" i="14"/>
  <c r="AA151" i="14"/>
  <c r="AA286" i="14"/>
  <c r="H320" i="14"/>
  <c r="Y320" i="14"/>
  <c r="J320" i="14"/>
  <c r="E320" i="14"/>
  <c r="V320" i="14"/>
  <c r="U320" i="14"/>
  <c r="X320" i="14"/>
  <c r="Z320" i="14"/>
  <c r="F320" i="14"/>
  <c r="W320" i="14"/>
  <c r="A321" i="14"/>
  <c r="I320" i="14"/>
  <c r="T320" i="14"/>
  <c r="K320" i="14"/>
  <c r="L320" i="14"/>
  <c r="U54" i="14"/>
  <c r="K54" i="14"/>
  <c r="E54" i="14"/>
  <c r="L54" i="14"/>
  <c r="W54" i="14"/>
  <c r="X54" i="14"/>
  <c r="F54" i="14"/>
  <c r="I54" i="14"/>
  <c r="Z54" i="14"/>
  <c r="Y54" i="14"/>
  <c r="T54" i="14"/>
  <c r="H54" i="14"/>
  <c r="V54" i="14"/>
  <c r="J54" i="14"/>
  <c r="A55" i="14"/>
  <c r="F152" i="14"/>
  <c r="Z152" i="14"/>
  <c r="H152" i="14"/>
  <c r="X152" i="14"/>
  <c r="A153" i="14"/>
  <c r="L152" i="14"/>
  <c r="Y152" i="14"/>
  <c r="I152" i="14"/>
  <c r="U152" i="14"/>
  <c r="E152" i="14"/>
  <c r="J152" i="14"/>
  <c r="T152" i="14"/>
  <c r="W152" i="14"/>
  <c r="K152" i="14"/>
  <c r="V152" i="14"/>
  <c r="AA421" i="14" l="1"/>
  <c r="Z422" i="14"/>
  <c r="S422" i="14"/>
  <c r="X422" i="14"/>
  <c r="M422" i="14"/>
  <c r="F422" i="14"/>
  <c r="O422" i="14"/>
  <c r="Y422" i="14"/>
  <c r="A423" i="14"/>
  <c r="G422" i="14"/>
  <c r="L422" i="14"/>
  <c r="R422" i="14"/>
  <c r="U422" i="14"/>
  <c r="W422" i="14"/>
  <c r="Q422" i="14"/>
  <c r="K422" i="14"/>
  <c r="I422" i="14"/>
  <c r="N422" i="14"/>
  <c r="T422" i="14"/>
  <c r="V422" i="14"/>
  <c r="E422" i="14"/>
  <c r="H422" i="14"/>
  <c r="J422" i="14"/>
  <c r="Q389" i="14"/>
  <c r="R389" i="14"/>
  <c r="S389" i="14"/>
  <c r="Q187" i="14"/>
  <c r="S187" i="14"/>
  <c r="R187" i="14"/>
  <c r="Q23" i="14"/>
  <c r="R23" i="14"/>
  <c r="S23" i="14"/>
  <c r="Q288" i="14"/>
  <c r="R288" i="14"/>
  <c r="S288" i="14"/>
  <c r="Q120" i="14"/>
  <c r="S120" i="14"/>
  <c r="R120" i="14"/>
  <c r="Q55" i="14"/>
  <c r="S55" i="14"/>
  <c r="R55" i="14"/>
  <c r="Q220" i="14"/>
  <c r="R220" i="14"/>
  <c r="S220" i="14"/>
  <c r="Q355" i="14"/>
  <c r="S355" i="14"/>
  <c r="R355" i="14"/>
  <c r="Q254" i="14"/>
  <c r="S254" i="14"/>
  <c r="R254" i="14"/>
  <c r="Q153" i="14"/>
  <c r="S153" i="14"/>
  <c r="R153" i="14"/>
  <c r="Q86" i="14"/>
  <c r="R86" i="14"/>
  <c r="S86" i="14"/>
  <c r="Q321" i="14"/>
  <c r="R321" i="14"/>
  <c r="S321" i="14"/>
  <c r="N321" i="14"/>
  <c r="O321" i="14"/>
  <c r="N389" i="14"/>
  <c r="O389" i="14"/>
  <c r="N220" i="14"/>
  <c r="O220" i="14"/>
  <c r="N120" i="14"/>
  <c r="O120" i="14"/>
  <c r="N153" i="14"/>
  <c r="O153" i="14"/>
  <c r="N187" i="14"/>
  <c r="O187" i="14"/>
  <c r="N355" i="14"/>
  <c r="O355" i="14"/>
  <c r="O86" i="14"/>
  <c r="N86" i="14"/>
  <c r="G23" i="14"/>
  <c r="O23" i="14"/>
  <c r="N23" i="14"/>
  <c r="O288" i="14"/>
  <c r="N288" i="14"/>
  <c r="N55" i="14"/>
  <c r="O55" i="14"/>
  <c r="N254" i="14"/>
  <c r="O254" i="14"/>
  <c r="M288" i="14"/>
  <c r="G288" i="14"/>
  <c r="M86" i="14"/>
  <c r="G86" i="14"/>
  <c r="M321" i="14"/>
  <c r="G321" i="14"/>
  <c r="M220" i="14"/>
  <c r="G220" i="14"/>
  <c r="M389" i="14"/>
  <c r="G389" i="14"/>
  <c r="M55" i="14"/>
  <c r="G55" i="14"/>
  <c r="M355" i="14"/>
  <c r="G355" i="14"/>
  <c r="M254" i="14"/>
  <c r="G254" i="14"/>
  <c r="M187" i="14"/>
  <c r="G187" i="14"/>
  <c r="M153" i="14"/>
  <c r="G153" i="14"/>
  <c r="M120" i="14"/>
  <c r="G120" i="14"/>
  <c r="M23" i="14"/>
  <c r="AA152" i="14"/>
  <c r="E187" i="14"/>
  <c r="X187" i="14"/>
  <c r="L187" i="14"/>
  <c r="W187" i="14"/>
  <c r="V187" i="14"/>
  <c r="T187" i="14"/>
  <c r="F187" i="14"/>
  <c r="A188" i="14"/>
  <c r="J187" i="14"/>
  <c r="Y187" i="14"/>
  <c r="H187" i="14"/>
  <c r="I187" i="14"/>
  <c r="U187" i="14"/>
  <c r="Z187" i="14"/>
  <c r="K187" i="14"/>
  <c r="J321" i="14"/>
  <c r="H321" i="14"/>
  <c r="E321" i="14"/>
  <c r="Y321" i="14"/>
  <c r="A322" i="14"/>
  <c r="T321" i="14"/>
  <c r="V321" i="14"/>
  <c r="X321" i="14"/>
  <c r="Z321" i="14"/>
  <c r="K321" i="14"/>
  <c r="L321" i="14"/>
  <c r="I321" i="14"/>
  <c r="F321" i="14"/>
  <c r="U321" i="14"/>
  <c r="W321" i="14"/>
  <c r="AA388" i="14"/>
  <c r="I153" i="14"/>
  <c r="T153" i="14"/>
  <c r="Z153" i="14"/>
  <c r="U153" i="14"/>
  <c r="J153" i="14"/>
  <c r="A154" i="14"/>
  <c r="X153" i="14"/>
  <c r="W153" i="14"/>
  <c r="Y153" i="14"/>
  <c r="E153" i="14"/>
  <c r="H153" i="14"/>
  <c r="L153" i="14"/>
  <c r="V153" i="14"/>
  <c r="K153" i="14"/>
  <c r="F153" i="14"/>
  <c r="H86" i="14"/>
  <c r="J86" i="14"/>
  <c r="U86" i="14"/>
  <c r="Y86" i="14"/>
  <c r="K86" i="14"/>
  <c r="I86" i="14"/>
  <c r="V86" i="14"/>
  <c r="L86" i="14"/>
  <c r="T86" i="14"/>
  <c r="F86" i="14"/>
  <c r="A87" i="14"/>
  <c r="E86" i="14"/>
  <c r="Z86" i="14"/>
  <c r="X86" i="14"/>
  <c r="W86" i="14"/>
  <c r="AA354" i="14"/>
  <c r="L288" i="14"/>
  <c r="Z288" i="14"/>
  <c r="U288" i="14"/>
  <c r="I288" i="14"/>
  <c r="F288" i="14"/>
  <c r="Y288" i="14"/>
  <c r="V288" i="14"/>
  <c r="J288" i="14"/>
  <c r="W288" i="14"/>
  <c r="A289" i="14"/>
  <c r="H288" i="14"/>
  <c r="K288" i="14"/>
  <c r="T288" i="14"/>
  <c r="X288" i="14"/>
  <c r="E288" i="14"/>
  <c r="AA22" i="14"/>
  <c r="AA54" i="14"/>
  <c r="AA85" i="14"/>
  <c r="AA219" i="14"/>
  <c r="Y355" i="14"/>
  <c r="T355" i="14"/>
  <c r="U355" i="14"/>
  <c r="K355" i="14"/>
  <c r="F355" i="14"/>
  <c r="I355" i="14"/>
  <c r="E355" i="14"/>
  <c r="Z355" i="14"/>
  <c r="H355" i="14"/>
  <c r="L355" i="14"/>
  <c r="V355" i="14"/>
  <c r="J355" i="14"/>
  <c r="A356" i="14"/>
  <c r="X355" i="14"/>
  <c r="W355" i="14"/>
  <c r="Z220" i="14"/>
  <c r="T220" i="14"/>
  <c r="L220" i="14"/>
  <c r="U220" i="14"/>
  <c r="K220" i="14"/>
  <c r="W220" i="14"/>
  <c r="H220" i="14"/>
  <c r="Y220" i="14"/>
  <c r="X220" i="14"/>
  <c r="E220" i="14"/>
  <c r="V220" i="14"/>
  <c r="A221" i="14"/>
  <c r="I220" i="14"/>
  <c r="F220" i="14"/>
  <c r="J220" i="14"/>
  <c r="AA287" i="14"/>
  <c r="E120" i="14"/>
  <c r="U120" i="14"/>
  <c r="Z120" i="14"/>
  <c r="K120" i="14"/>
  <c r="W120" i="14"/>
  <c r="J120" i="14"/>
  <c r="V120" i="14"/>
  <c r="F120" i="14"/>
  <c r="L120" i="14"/>
  <c r="T120" i="14"/>
  <c r="I120" i="14"/>
  <c r="Y120" i="14"/>
  <c r="X120" i="14"/>
  <c r="A121" i="14"/>
  <c r="H120" i="14"/>
  <c r="T254" i="14"/>
  <c r="X254" i="14"/>
  <c r="H254" i="14"/>
  <c r="Y254" i="14"/>
  <c r="E254" i="14"/>
  <c r="K254" i="14"/>
  <c r="U254" i="14"/>
  <c r="I254" i="14"/>
  <c r="J254" i="14"/>
  <c r="A255" i="14"/>
  <c r="V254" i="14"/>
  <c r="W254" i="14"/>
  <c r="F254" i="14"/>
  <c r="L254" i="14"/>
  <c r="Z254" i="14"/>
  <c r="I23" i="14"/>
  <c r="Y23" i="14"/>
  <c r="F23" i="14"/>
  <c r="E23" i="14"/>
  <c r="H23" i="14"/>
  <c r="L23" i="14"/>
  <c r="V23" i="14"/>
  <c r="U23" i="14"/>
  <c r="K23" i="14"/>
  <c r="J23" i="14"/>
  <c r="T23" i="14"/>
  <c r="Z23" i="14"/>
  <c r="A24" i="14"/>
  <c r="W23" i="14"/>
  <c r="X23" i="14"/>
  <c r="AA186" i="14"/>
  <c r="AA119" i="14"/>
  <c r="AA253" i="14"/>
  <c r="AA320" i="14"/>
  <c r="T55" i="14"/>
  <c r="U55" i="14"/>
  <c r="W55" i="14"/>
  <c r="L55" i="14"/>
  <c r="E55" i="14"/>
  <c r="K55" i="14"/>
  <c r="A56" i="14"/>
  <c r="X55" i="14"/>
  <c r="Z55" i="14"/>
  <c r="F55" i="14"/>
  <c r="I55" i="14"/>
  <c r="J55" i="14"/>
  <c r="Y55" i="14"/>
  <c r="H55" i="14"/>
  <c r="V55" i="14"/>
  <c r="Z389" i="14"/>
  <c r="X389" i="14"/>
  <c r="H389" i="14"/>
  <c r="F389" i="14"/>
  <c r="Y389" i="14"/>
  <c r="A390" i="14"/>
  <c r="W389" i="14"/>
  <c r="U389" i="14"/>
  <c r="J389" i="14"/>
  <c r="E389" i="14"/>
  <c r="K389" i="14"/>
  <c r="L389" i="14"/>
  <c r="T389" i="14"/>
  <c r="I389" i="14"/>
  <c r="V389" i="14"/>
  <c r="AA422" i="14" l="1"/>
  <c r="W423" i="14"/>
  <c r="K423" i="14"/>
  <c r="G423" i="14"/>
  <c r="N423" i="14"/>
  <c r="Y423" i="14"/>
  <c r="O423" i="14"/>
  <c r="F423" i="14"/>
  <c r="J423" i="14"/>
  <c r="E423" i="14"/>
  <c r="X423" i="14"/>
  <c r="U423" i="14"/>
  <c r="A424" i="14"/>
  <c r="M423" i="14"/>
  <c r="I423" i="14"/>
  <c r="R423" i="14"/>
  <c r="V423" i="14"/>
  <c r="T423" i="14"/>
  <c r="Q423" i="14"/>
  <c r="L423" i="14"/>
  <c r="H423" i="14"/>
  <c r="Z423" i="14"/>
  <c r="S423" i="14"/>
  <c r="Q188" i="14"/>
  <c r="S188" i="14"/>
  <c r="R188" i="14"/>
  <c r="Q289" i="14"/>
  <c r="S289" i="14"/>
  <c r="R289" i="14"/>
  <c r="Q390" i="14"/>
  <c r="R390" i="14"/>
  <c r="S390" i="14"/>
  <c r="Q56" i="14"/>
  <c r="S56" i="14"/>
  <c r="R56" i="14"/>
  <c r="Q322" i="14"/>
  <c r="R322" i="14"/>
  <c r="S322" i="14"/>
  <c r="Q87" i="14"/>
  <c r="S87" i="14"/>
  <c r="R87" i="14"/>
  <c r="Q121" i="14"/>
  <c r="S121" i="14"/>
  <c r="R121" i="14"/>
  <c r="Q356" i="14"/>
  <c r="R356" i="14"/>
  <c r="S356" i="14"/>
  <c r="Q24" i="14"/>
  <c r="S24" i="14"/>
  <c r="R24" i="14"/>
  <c r="Q255" i="14"/>
  <c r="S255" i="14"/>
  <c r="R255" i="14"/>
  <c r="Q154" i="14"/>
  <c r="R154" i="14"/>
  <c r="S154" i="14"/>
  <c r="Q221" i="14"/>
  <c r="R221" i="14"/>
  <c r="S221" i="14"/>
  <c r="O121" i="14"/>
  <c r="N121" i="14"/>
  <c r="O87" i="14"/>
  <c r="N87" i="14"/>
  <c r="N356" i="14"/>
  <c r="O356" i="14"/>
  <c r="N56" i="14"/>
  <c r="O56" i="14"/>
  <c r="O289" i="14"/>
  <c r="N289" i="14"/>
  <c r="N188" i="14"/>
  <c r="O188" i="14"/>
  <c r="G24" i="14"/>
  <c r="N24" i="14"/>
  <c r="O24" i="14"/>
  <c r="N390" i="14"/>
  <c r="O390" i="14"/>
  <c r="O322" i="14"/>
  <c r="N322" i="14"/>
  <c r="N255" i="14"/>
  <c r="O255" i="14"/>
  <c r="N154" i="14"/>
  <c r="O154" i="14"/>
  <c r="N221" i="14"/>
  <c r="O221" i="14"/>
  <c r="M322" i="14"/>
  <c r="G322" i="14"/>
  <c r="M289" i="14"/>
  <c r="G289" i="14"/>
  <c r="M87" i="14"/>
  <c r="G87" i="14"/>
  <c r="M121" i="14"/>
  <c r="G121" i="14"/>
  <c r="M390" i="14"/>
  <c r="G390" i="14"/>
  <c r="M255" i="14"/>
  <c r="G255" i="14"/>
  <c r="M356" i="14"/>
  <c r="G356" i="14"/>
  <c r="M154" i="14"/>
  <c r="G154" i="14"/>
  <c r="M188" i="14"/>
  <c r="G188" i="14"/>
  <c r="M56" i="14"/>
  <c r="G56" i="14"/>
  <c r="M221" i="14"/>
  <c r="G221" i="14"/>
  <c r="M24" i="14"/>
  <c r="Y154" i="14"/>
  <c r="T154" i="14"/>
  <c r="H154" i="14"/>
  <c r="X154" i="14"/>
  <c r="E154" i="14"/>
  <c r="J154" i="14"/>
  <c r="I154" i="14"/>
  <c r="L154" i="14"/>
  <c r="V154" i="14"/>
  <c r="W154" i="14"/>
  <c r="A155" i="14"/>
  <c r="K154" i="14"/>
  <c r="F154" i="14"/>
  <c r="Z154" i="14"/>
  <c r="U154" i="14"/>
  <c r="L188" i="14"/>
  <c r="K188" i="14"/>
  <c r="Y188" i="14"/>
  <c r="A189" i="14"/>
  <c r="J188" i="14"/>
  <c r="I188" i="14"/>
  <c r="T188" i="14"/>
  <c r="H188" i="14"/>
  <c r="E188" i="14"/>
  <c r="W188" i="14"/>
  <c r="U188" i="14"/>
  <c r="X188" i="14"/>
  <c r="F188" i="14"/>
  <c r="Z188" i="14"/>
  <c r="V188" i="14"/>
  <c r="AA389" i="14"/>
  <c r="AA355" i="14"/>
  <c r="U322" i="14"/>
  <c r="F322" i="14"/>
  <c r="E322" i="14"/>
  <c r="J322" i="14"/>
  <c r="V322" i="14"/>
  <c r="L322" i="14"/>
  <c r="Y322" i="14"/>
  <c r="Z322" i="14"/>
  <c r="A323" i="14"/>
  <c r="I322" i="14"/>
  <c r="K322" i="14"/>
  <c r="X322" i="14"/>
  <c r="T322" i="14"/>
  <c r="H322" i="14"/>
  <c r="W322" i="14"/>
  <c r="AA321" i="14"/>
  <c r="AA220" i="14"/>
  <c r="AA55" i="14"/>
  <c r="AA254" i="14"/>
  <c r="A25" i="14"/>
  <c r="E24" i="14"/>
  <c r="U24" i="14"/>
  <c r="W24" i="14"/>
  <c r="L24" i="14"/>
  <c r="K24" i="14"/>
  <c r="Y24" i="14"/>
  <c r="Z24" i="14"/>
  <c r="F24" i="14"/>
  <c r="I24" i="14"/>
  <c r="T24" i="14"/>
  <c r="V24" i="14"/>
  <c r="H24" i="14"/>
  <c r="X24" i="14"/>
  <c r="J24" i="14"/>
  <c r="U289" i="14"/>
  <c r="K289" i="14"/>
  <c r="I289" i="14"/>
  <c r="H289" i="14"/>
  <c r="T289" i="14"/>
  <c r="W289" i="14"/>
  <c r="J289" i="14"/>
  <c r="A290" i="14"/>
  <c r="X289" i="14"/>
  <c r="V289" i="14"/>
  <c r="Z289" i="14"/>
  <c r="F289" i="14"/>
  <c r="E289" i="14"/>
  <c r="L289" i="14"/>
  <c r="Y289" i="14"/>
  <c r="X56" i="14"/>
  <c r="Y56" i="14"/>
  <c r="Z56" i="14"/>
  <c r="F56" i="14"/>
  <c r="L56" i="14"/>
  <c r="I56" i="14"/>
  <c r="U56" i="14"/>
  <c r="A57" i="14"/>
  <c r="K56" i="14"/>
  <c r="V56" i="14"/>
  <c r="H56" i="14"/>
  <c r="W56" i="14"/>
  <c r="E56" i="14"/>
  <c r="J56" i="14"/>
  <c r="T56" i="14"/>
  <c r="U121" i="14"/>
  <c r="I121" i="14"/>
  <c r="J121" i="14"/>
  <c r="F121" i="14"/>
  <c r="A122" i="14"/>
  <c r="K121" i="14"/>
  <c r="L121" i="14"/>
  <c r="X121" i="14"/>
  <c r="T121" i="14"/>
  <c r="W121" i="14"/>
  <c r="V121" i="14"/>
  <c r="H121" i="14"/>
  <c r="Y121" i="14"/>
  <c r="Z121" i="14"/>
  <c r="E121" i="14"/>
  <c r="A88" i="14"/>
  <c r="U87" i="14"/>
  <c r="E87" i="14"/>
  <c r="J87" i="14"/>
  <c r="Y87" i="14"/>
  <c r="T87" i="14"/>
  <c r="I87" i="14"/>
  <c r="W87" i="14"/>
  <c r="Z87" i="14"/>
  <c r="K87" i="14"/>
  <c r="V87" i="14"/>
  <c r="L87" i="14"/>
  <c r="X87" i="14"/>
  <c r="F87" i="14"/>
  <c r="H87" i="14"/>
  <c r="AA187" i="14"/>
  <c r="AA23" i="14"/>
  <c r="AA153" i="14"/>
  <c r="U390" i="14"/>
  <c r="W390" i="14"/>
  <c r="J390" i="14"/>
  <c r="H390" i="14"/>
  <c r="E390" i="14"/>
  <c r="A391" i="14"/>
  <c r="K390" i="14"/>
  <c r="Y390" i="14"/>
  <c r="V390" i="14"/>
  <c r="I390" i="14"/>
  <c r="L390" i="14"/>
  <c r="X390" i="14"/>
  <c r="Z390" i="14"/>
  <c r="F390" i="14"/>
  <c r="T390" i="14"/>
  <c r="AA120" i="14"/>
  <c r="AA86" i="14"/>
  <c r="J221" i="14"/>
  <c r="H221" i="14"/>
  <c r="Z221" i="14"/>
  <c r="K221" i="14"/>
  <c r="I221" i="14"/>
  <c r="L221" i="14"/>
  <c r="E221" i="14"/>
  <c r="U221" i="14"/>
  <c r="V221" i="14"/>
  <c r="T221" i="14"/>
  <c r="Y221" i="14"/>
  <c r="X221" i="14"/>
  <c r="W221" i="14"/>
  <c r="F221" i="14"/>
  <c r="A222" i="14"/>
  <c r="AA288" i="14"/>
  <c r="L255" i="14"/>
  <c r="A256" i="14"/>
  <c r="X255" i="14"/>
  <c r="H255" i="14"/>
  <c r="Z255" i="14"/>
  <c r="U255" i="14"/>
  <c r="I255" i="14"/>
  <c r="V255" i="14"/>
  <c r="E255" i="14"/>
  <c r="J255" i="14"/>
  <c r="W255" i="14"/>
  <c r="T255" i="14"/>
  <c r="Y255" i="14"/>
  <c r="K255" i="14"/>
  <c r="F255" i="14"/>
  <c r="K356" i="14"/>
  <c r="L356" i="14"/>
  <c r="A357" i="14"/>
  <c r="T356" i="14"/>
  <c r="W356" i="14"/>
  <c r="X356" i="14"/>
  <c r="J356" i="14"/>
  <c r="U356" i="14"/>
  <c r="V356" i="14"/>
  <c r="Y356" i="14"/>
  <c r="E356" i="14"/>
  <c r="F356" i="14"/>
  <c r="H356" i="14"/>
  <c r="I356" i="14"/>
  <c r="Z356" i="14"/>
  <c r="V424" i="14" l="1"/>
  <c r="F424" i="14"/>
  <c r="H424" i="14"/>
  <c r="M424" i="14"/>
  <c r="X424" i="14"/>
  <c r="S424" i="14"/>
  <c r="E424" i="14"/>
  <c r="K424" i="14"/>
  <c r="R424" i="14"/>
  <c r="Z424" i="14"/>
  <c r="W424" i="14"/>
  <c r="N424" i="14"/>
  <c r="Q424" i="14"/>
  <c r="J424" i="14"/>
  <c r="L424" i="14"/>
  <c r="U424" i="14"/>
  <c r="A425" i="14"/>
  <c r="Y424" i="14"/>
  <c r="I424" i="14"/>
  <c r="O424" i="14"/>
  <c r="T424" i="14"/>
  <c r="G424" i="14"/>
  <c r="AA423" i="14"/>
  <c r="Q323" i="14"/>
  <c r="R323" i="14"/>
  <c r="S323" i="14"/>
  <c r="Q391" i="14"/>
  <c r="R391" i="14"/>
  <c r="S391" i="14"/>
  <c r="Q290" i="14"/>
  <c r="S290" i="14"/>
  <c r="R290" i="14"/>
  <c r="Q256" i="14"/>
  <c r="S256" i="14"/>
  <c r="R256" i="14"/>
  <c r="Q25" i="14"/>
  <c r="R25" i="14"/>
  <c r="S25" i="14"/>
  <c r="Q155" i="14"/>
  <c r="S155" i="14"/>
  <c r="R155" i="14"/>
  <c r="Q57" i="14"/>
  <c r="R57" i="14"/>
  <c r="S57" i="14"/>
  <c r="Q357" i="14"/>
  <c r="S357" i="14"/>
  <c r="R357" i="14"/>
  <c r="Q189" i="14"/>
  <c r="R189" i="14"/>
  <c r="S189" i="14"/>
  <c r="Q122" i="14"/>
  <c r="S122" i="14"/>
  <c r="R122" i="14"/>
  <c r="Q222" i="14"/>
  <c r="R222" i="14"/>
  <c r="S222" i="14"/>
  <c r="Q88" i="14"/>
  <c r="S88" i="14"/>
  <c r="R88" i="14"/>
  <c r="N57" i="14"/>
  <c r="O57" i="14"/>
  <c r="O323" i="14"/>
  <c r="N323" i="14"/>
  <c r="O122" i="14"/>
  <c r="N122" i="14"/>
  <c r="G25" i="14"/>
  <c r="N25" i="14"/>
  <c r="O25" i="14"/>
  <c r="O357" i="14"/>
  <c r="N357" i="14"/>
  <c r="N256" i="14"/>
  <c r="O256" i="14"/>
  <c r="N189" i="14"/>
  <c r="O189" i="14"/>
  <c r="N290" i="14"/>
  <c r="O290" i="14"/>
  <c r="N222" i="14"/>
  <c r="O222" i="14"/>
  <c r="N155" i="14"/>
  <c r="O155" i="14"/>
  <c r="N391" i="14"/>
  <c r="O391" i="14"/>
  <c r="N88" i="14"/>
  <c r="O88" i="14"/>
  <c r="M222" i="14"/>
  <c r="G222" i="14"/>
  <c r="M189" i="14"/>
  <c r="G189" i="14"/>
  <c r="M57" i="14"/>
  <c r="G57" i="14"/>
  <c r="M290" i="14"/>
  <c r="G290" i="14"/>
  <c r="M122" i="14"/>
  <c r="G122" i="14"/>
  <c r="M323" i="14"/>
  <c r="G323" i="14"/>
  <c r="M155" i="14"/>
  <c r="G155" i="14"/>
  <c r="M88" i="14"/>
  <c r="G88" i="14"/>
  <c r="M357" i="14"/>
  <c r="G357" i="14"/>
  <c r="M256" i="14"/>
  <c r="G256" i="14"/>
  <c r="M391" i="14"/>
  <c r="G391" i="14"/>
  <c r="M25" i="14"/>
  <c r="AA289" i="14"/>
  <c r="AA24" i="14"/>
  <c r="I25" i="14"/>
  <c r="E25" i="14"/>
  <c r="L25" i="14"/>
  <c r="Y25" i="14"/>
  <c r="T25" i="14"/>
  <c r="Z25" i="14"/>
  <c r="F25" i="14"/>
  <c r="K25" i="14"/>
  <c r="A26" i="14"/>
  <c r="U25" i="14"/>
  <c r="J25" i="14"/>
  <c r="V25" i="14"/>
  <c r="W25" i="14"/>
  <c r="X25" i="14"/>
  <c r="H25" i="14"/>
  <c r="E155" i="14"/>
  <c r="A156" i="14"/>
  <c r="J155" i="14"/>
  <c r="L155" i="14"/>
  <c r="F155" i="14"/>
  <c r="Z155" i="14"/>
  <c r="U155" i="14"/>
  <c r="Y155" i="14"/>
  <c r="V155" i="14"/>
  <c r="I155" i="14"/>
  <c r="X155" i="14"/>
  <c r="W155" i="14"/>
  <c r="T155" i="14"/>
  <c r="K155" i="14"/>
  <c r="H155" i="14"/>
  <c r="AA188" i="14"/>
  <c r="AA322" i="14"/>
  <c r="E122" i="14"/>
  <c r="U122" i="14"/>
  <c r="J122" i="14"/>
  <c r="Z122" i="14"/>
  <c r="K122" i="14"/>
  <c r="I122" i="14"/>
  <c r="V122" i="14"/>
  <c r="W122" i="14"/>
  <c r="X122" i="14"/>
  <c r="A123" i="14"/>
  <c r="F122" i="14"/>
  <c r="Y122" i="14"/>
  <c r="H122" i="14"/>
  <c r="L122" i="14"/>
  <c r="T122" i="14"/>
  <c r="E189" i="14"/>
  <c r="V189" i="14"/>
  <c r="K189" i="14"/>
  <c r="Z189" i="14"/>
  <c r="W189" i="14"/>
  <c r="L189" i="14"/>
  <c r="A190" i="14"/>
  <c r="J189" i="14"/>
  <c r="Y189" i="14"/>
  <c r="T189" i="14"/>
  <c r="U189" i="14"/>
  <c r="H189" i="14"/>
  <c r="X189" i="14"/>
  <c r="F189" i="14"/>
  <c r="I189" i="14"/>
  <c r="AA154" i="14"/>
  <c r="E290" i="14"/>
  <c r="A291" i="14"/>
  <c r="J290" i="14"/>
  <c r="U290" i="14"/>
  <c r="L290" i="14"/>
  <c r="Z290" i="14"/>
  <c r="Y290" i="14"/>
  <c r="F290" i="14"/>
  <c r="X290" i="14"/>
  <c r="W290" i="14"/>
  <c r="T290" i="14"/>
  <c r="K290" i="14"/>
  <c r="H290" i="14"/>
  <c r="I290" i="14"/>
  <c r="V290" i="14"/>
  <c r="AA221" i="14"/>
  <c r="AA121" i="14"/>
  <c r="AA255" i="14"/>
  <c r="E391" i="14"/>
  <c r="A392" i="14"/>
  <c r="F391" i="14"/>
  <c r="U391" i="14"/>
  <c r="I391" i="14"/>
  <c r="W391" i="14"/>
  <c r="X391" i="14"/>
  <c r="Z391" i="14"/>
  <c r="L391" i="14"/>
  <c r="V391" i="14"/>
  <c r="J391" i="14"/>
  <c r="Y391" i="14"/>
  <c r="H391" i="14"/>
  <c r="K391" i="14"/>
  <c r="T391" i="14"/>
  <c r="K57" i="14"/>
  <c r="F57" i="14"/>
  <c r="I57" i="14"/>
  <c r="A58" i="14"/>
  <c r="X57" i="14"/>
  <c r="H57" i="14"/>
  <c r="V57" i="14"/>
  <c r="J57" i="14"/>
  <c r="L57" i="14"/>
  <c r="T57" i="14"/>
  <c r="W57" i="14"/>
  <c r="E57" i="14"/>
  <c r="Y57" i="14"/>
  <c r="U57" i="14"/>
  <c r="Z57" i="14"/>
  <c r="AA87" i="14"/>
  <c r="E357" i="14"/>
  <c r="W357" i="14"/>
  <c r="Y357" i="14"/>
  <c r="H357" i="14"/>
  <c r="I357" i="14"/>
  <c r="K357" i="14"/>
  <c r="J357" i="14"/>
  <c r="F357" i="14"/>
  <c r="A358" i="14"/>
  <c r="X357" i="14"/>
  <c r="T357" i="14"/>
  <c r="Z357" i="14"/>
  <c r="U357" i="14"/>
  <c r="L357" i="14"/>
  <c r="V357" i="14"/>
  <c r="E88" i="14"/>
  <c r="Y88" i="14"/>
  <c r="Z88" i="14"/>
  <c r="V88" i="14"/>
  <c r="T88" i="14"/>
  <c r="H88" i="14"/>
  <c r="A89" i="14"/>
  <c r="I88" i="14"/>
  <c r="X88" i="14"/>
  <c r="F88" i="14"/>
  <c r="J88" i="14"/>
  <c r="K88" i="14"/>
  <c r="W88" i="14"/>
  <c r="U88" i="14"/>
  <c r="L88" i="14"/>
  <c r="E256" i="14"/>
  <c r="D256" i="14" s="1"/>
  <c r="A257" i="14"/>
  <c r="Z256" i="14"/>
  <c r="H256" i="14"/>
  <c r="V256" i="14"/>
  <c r="X256" i="14"/>
  <c r="L256" i="14"/>
  <c r="W256" i="14"/>
  <c r="T256" i="14"/>
  <c r="Y256" i="14"/>
  <c r="U256" i="14"/>
  <c r="I256" i="14"/>
  <c r="J256" i="14"/>
  <c r="K256" i="14"/>
  <c r="F256" i="14"/>
  <c r="AA56" i="14"/>
  <c r="E323" i="14"/>
  <c r="X323" i="14"/>
  <c r="T323" i="14"/>
  <c r="W323" i="14"/>
  <c r="H323" i="14"/>
  <c r="A324" i="14"/>
  <c r="Z323" i="14"/>
  <c r="V323" i="14"/>
  <c r="F323" i="14"/>
  <c r="L323" i="14"/>
  <c r="K323" i="14"/>
  <c r="J323" i="14"/>
  <c r="I323" i="14"/>
  <c r="U323" i="14"/>
  <c r="Y323" i="14"/>
  <c r="AA356" i="14"/>
  <c r="E222" i="14"/>
  <c r="I222" i="14"/>
  <c r="U222" i="14"/>
  <c r="V222" i="14"/>
  <c r="Z222" i="14"/>
  <c r="J222" i="14"/>
  <c r="Y222" i="14"/>
  <c r="L222" i="14"/>
  <c r="X222" i="14"/>
  <c r="A223" i="14"/>
  <c r="K222" i="14"/>
  <c r="W222" i="14"/>
  <c r="T222" i="14"/>
  <c r="H222" i="14"/>
  <c r="F222" i="14"/>
  <c r="AA390" i="14"/>
  <c r="AA424" i="14" l="1"/>
  <c r="U425" i="14"/>
  <c r="K425" i="14"/>
  <c r="E425" i="14"/>
  <c r="L425" i="14"/>
  <c r="W425" i="14"/>
  <c r="Z425" i="14"/>
  <c r="A426" i="14"/>
  <c r="J425" i="14"/>
  <c r="Y425" i="14"/>
  <c r="S425" i="14"/>
  <c r="V425" i="14"/>
  <c r="O425" i="14"/>
  <c r="I425" i="14"/>
  <c r="G425" i="14"/>
  <c r="N425" i="14"/>
  <c r="R425" i="14"/>
  <c r="M425" i="14"/>
  <c r="F425" i="14"/>
  <c r="X425" i="14"/>
  <c r="Q425" i="14"/>
  <c r="T425" i="14"/>
  <c r="H425" i="14"/>
  <c r="Q123" i="14"/>
  <c r="R123" i="14"/>
  <c r="S123" i="14"/>
  <c r="Q324" i="14"/>
  <c r="S324" i="14"/>
  <c r="R324" i="14"/>
  <c r="Q291" i="14"/>
  <c r="S291" i="14"/>
  <c r="R291" i="14"/>
  <c r="Q156" i="14"/>
  <c r="R156" i="14"/>
  <c r="S156" i="14"/>
  <c r="Q190" i="14"/>
  <c r="S190" i="14"/>
  <c r="R190" i="14"/>
  <c r="Q392" i="14"/>
  <c r="S392" i="14"/>
  <c r="R392" i="14"/>
  <c r="Q257" i="14"/>
  <c r="R257" i="14"/>
  <c r="S257" i="14"/>
  <c r="Q58" i="14"/>
  <c r="S58" i="14"/>
  <c r="R58" i="14"/>
  <c r="Q358" i="14"/>
  <c r="R358" i="14"/>
  <c r="S358" i="14"/>
  <c r="Q26" i="14"/>
  <c r="S26" i="14"/>
  <c r="R26" i="14"/>
  <c r="Q223" i="14"/>
  <c r="S223" i="14"/>
  <c r="R223" i="14"/>
  <c r="S89" i="14"/>
  <c r="Q89" i="14"/>
  <c r="R89" i="14"/>
  <c r="O358" i="14"/>
  <c r="N358" i="14"/>
  <c r="G26" i="14"/>
  <c r="N26" i="14"/>
  <c r="O26" i="14"/>
  <c r="N223" i="14"/>
  <c r="O223" i="14"/>
  <c r="N392" i="14"/>
  <c r="O392" i="14"/>
  <c r="O324" i="14"/>
  <c r="N324" i="14"/>
  <c r="N58" i="14"/>
  <c r="O58" i="14"/>
  <c r="N291" i="14"/>
  <c r="O291" i="14"/>
  <c r="O156" i="14"/>
  <c r="N156" i="14"/>
  <c r="O190" i="14"/>
  <c r="N190" i="14"/>
  <c r="N257" i="14"/>
  <c r="O257" i="14"/>
  <c r="O123" i="14"/>
  <c r="N123" i="14"/>
  <c r="N89" i="14"/>
  <c r="O89" i="14"/>
  <c r="M89" i="14"/>
  <c r="G89" i="14"/>
  <c r="M156" i="14"/>
  <c r="G156" i="14"/>
  <c r="M123" i="14"/>
  <c r="G123" i="14"/>
  <c r="M58" i="14"/>
  <c r="G58" i="14"/>
  <c r="M223" i="14"/>
  <c r="G223" i="14"/>
  <c r="M392" i="14"/>
  <c r="G392" i="14"/>
  <c r="M190" i="14"/>
  <c r="G190" i="14"/>
  <c r="M291" i="14"/>
  <c r="G291" i="14"/>
  <c r="M324" i="14"/>
  <c r="G324" i="14"/>
  <c r="M358" i="14"/>
  <c r="G358" i="14"/>
  <c r="M257" i="14"/>
  <c r="G257" i="14"/>
  <c r="M26" i="14"/>
  <c r="V26" i="14"/>
  <c r="A27" i="14"/>
  <c r="L26" i="14"/>
  <c r="X26" i="14"/>
  <c r="F26" i="14"/>
  <c r="Z26" i="14"/>
  <c r="T26" i="14"/>
  <c r="E26" i="14"/>
  <c r="I26" i="14"/>
  <c r="J26" i="14"/>
  <c r="H26" i="14"/>
  <c r="K26" i="14"/>
  <c r="Y26" i="14"/>
  <c r="U26" i="14"/>
  <c r="W26" i="14"/>
  <c r="AA189" i="14"/>
  <c r="AA290" i="14"/>
  <c r="A224" i="14"/>
  <c r="E223" i="14"/>
  <c r="U223" i="14"/>
  <c r="W223" i="14"/>
  <c r="Z223" i="14"/>
  <c r="L223" i="14"/>
  <c r="X223" i="14"/>
  <c r="F223" i="14"/>
  <c r="I223" i="14"/>
  <c r="T223" i="14"/>
  <c r="H223" i="14"/>
  <c r="K223" i="14"/>
  <c r="J223" i="14"/>
  <c r="V223" i="14"/>
  <c r="Y223" i="14"/>
  <c r="AA122" i="14"/>
  <c r="AA357" i="14"/>
  <c r="L257" i="14"/>
  <c r="I257" i="14"/>
  <c r="J257" i="14"/>
  <c r="Z257" i="14"/>
  <c r="W257" i="14"/>
  <c r="T257" i="14"/>
  <c r="X257" i="14"/>
  <c r="Y257" i="14"/>
  <c r="V257" i="14"/>
  <c r="F257" i="14"/>
  <c r="H257" i="14"/>
  <c r="E257" i="14"/>
  <c r="A258" i="14"/>
  <c r="K257" i="14"/>
  <c r="U257" i="14"/>
  <c r="E156" i="14"/>
  <c r="K156" i="14"/>
  <c r="Y156" i="14"/>
  <c r="U156" i="14"/>
  <c r="W156" i="14"/>
  <c r="V156" i="14"/>
  <c r="A157" i="14"/>
  <c r="F156" i="14"/>
  <c r="X156" i="14"/>
  <c r="I156" i="14"/>
  <c r="H156" i="14"/>
  <c r="J156" i="14"/>
  <c r="Z156" i="14"/>
  <c r="L156" i="14"/>
  <c r="T156" i="14"/>
  <c r="AA155" i="14"/>
  <c r="AA323" i="14"/>
  <c r="AA256" i="14"/>
  <c r="J392" i="14"/>
  <c r="U392" i="14"/>
  <c r="E392" i="14"/>
  <c r="Z392" i="14"/>
  <c r="T392" i="14"/>
  <c r="Y392" i="14"/>
  <c r="X392" i="14"/>
  <c r="A393" i="14"/>
  <c r="K392" i="14"/>
  <c r="V392" i="14"/>
  <c r="W392" i="14"/>
  <c r="L392" i="14"/>
  <c r="H392" i="14"/>
  <c r="F392" i="14"/>
  <c r="I392" i="14"/>
  <c r="E123" i="14"/>
  <c r="A124" i="14"/>
  <c r="L123" i="14"/>
  <c r="J123" i="14"/>
  <c r="Y123" i="14"/>
  <c r="H123" i="14"/>
  <c r="T123" i="14"/>
  <c r="K123" i="14"/>
  <c r="U123" i="14"/>
  <c r="F123" i="14"/>
  <c r="Z123" i="14"/>
  <c r="W123" i="14"/>
  <c r="V123" i="14"/>
  <c r="X123" i="14"/>
  <c r="I123" i="14"/>
  <c r="AA25" i="14"/>
  <c r="U291" i="14"/>
  <c r="Y291" i="14"/>
  <c r="T291" i="14"/>
  <c r="V291" i="14"/>
  <c r="L291" i="14"/>
  <c r="Z291" i="14"/>
  <c r="X291" i="14"/>
  <c r="K291" i="14"/>
  <c r="H291" i="14"/>
  <c r="F291" i="14"/>
  <c r="J291" i="14"/>
  <c r="E291" i="14"/>
  <c r="W291" i="14"/>
  <c r="I291" i="14"/>
  <c r="A292" i="14"/>
  <c r="U58" i="14"/>
  <c r="K58" i="14"/>
  <c r="Z58" i="14"/>
  <c r="L58" i="14"/>
  <c r="I58" i="14"/>
  <c r="E58" i="14"/>
  <c r="F58" i="14"/>
  <c r="A59" i="14"/>
  <c r="X58" i="14"/>
  <c r="H58" i="14"/>
  <c r="J58" i="14"/>
  <c r="W58" i="14"/>
  <c r="T58" i="14"/>
  <c r="V58" i="14"/>
  <c r="Y58" i="14"/>
  <c r="AA57" i="14"/>
  <c r="AA391" i="14"/>
  <c r="E190" i="14"/>
  <c r="A191" i="14"/>
  <c r="Z190" i="14"/>
  <c r="J190" i="14"/>
  <c r="L190" i="14"/>
  <c r="I190" i="14"/>
  <c r="Y190" i="14"/>
  <c r="U190" i="14"/>
  <c r="H190" i="14"/>
  <c r="T190" i="14"/>
  <c r="V190" i="14"/>
  <c r="X190" i="14"/>
  <c r="W190" i="14"/>
  <c r="K190" i="14"/>
  <c r="F190" i="14"/>
  <c r="AA88" i="14"/>
  <c r="A325" i="14"/>
  <c r="U324" i="14"/>
  <c r="I324" i="14"/>
  <c r="T324" i="14"/>
  <c r="Y324" i="14"/>
  <c r="L324" i="14"/>
  <c r="H324" i="14"/>
  <c r="F324" i="14"/>
  <c r="J324" i="14"/>
  <c r="W324" i="14"/>
  <c r="V324" i="14"/>
  <c r="Z324" i="14"/>
  <c r="E324" i="14"/>
  <c r="K324" i="14"/>
  <c r="X324" i="14"/>
  <c r="AA222" i="14"/>
  <c r="A90" i="14"/>
  <c r="E89" i="14"/>
  <c r="H89" i="14"/>
  <c r="J89" i="14"/>
  <c r="K89" i="14"/>
  <c r="U89" i="14"/>
  <c r="Z89" i="14"/>
  <c r="I89" i="14"/>
  <c r="F89" i="14"/>
  <c r="Y89" i="14"/>
  <c r="V89" i="14"/>
  <c r="W89" i="14"/>
  <c r="T89" i="14"/>
  <c r="L89" i="14"/>
  <c r="X89" i="14"/>
  <c r="E358" i="14"/>
  <c r="A359" i="14"/>
  <c r="L358" i="14"/>
  <c r="H358" i="14"/>
  <c r="W358" i="14"/>
  <c r="X358" i="14"/>
  <c r="T358" i="14"/>
  <c r="K358" i="14"/>
  <c r="I358" i="14"/>
  <c r="J358" i="14"/>
  <c r="Y358" i="14"/>
  <c r="Z358" i="14"/>
  <c r="V358" i="14"/>
  <c r="F358" i="14"/>
  <c r="U358" i="14"/>
  <c r="AA425" i="14" l="1"/>
  <c r="A427" i="14"/>
  <c r="I426" i="14"/>
  <c r="E426" i="14"/>
  <c r="T426" i="14"/>
  <c r="W426" i="14"/>
  <c r="Z426" i="14"/>
  <c r="K426" i="14"/>
  <c r="H426" i="14"/>
  <c r="Y426" i="14"/>
  <c r="V426" i="14"/>
  <c r="S426" i="14"/>
  <c r="O426" i="14"/>
  <c r="L426" i="14"/>
  <c r="G426" i="14"/>
  <c r="N426" i="14"/>
  <c r="U426" i="14"/>
  <c r="R426" i="14"/>
  <c r="M426" i="14"/>
  <c r="J426" i="14"/>
  <c r="F426" i="14"/>
  <c r="X426" i="14"/>
  <c r="Q426" i="14"/>
  <c r="Q157" i="14"/>
  <c r="R157" i="14"/>
  <c r="S157" i="14"/>
  <c r="Q59" i="14"/>
  <c r="R59" i="14"/>
  <c r="S59" i="14"/>
  <c r="R393" i="14"/>
  <c r="Q393" i="14"/>
  <c r="S393" i="14"/>
  <c r="Q359" i="14"/>
  <c r="S359" i="14"/>
  <c r="R359" i="14"/>
  <c r="Q90" i="14"/>
  <c r="R90" i="14"/>
  <c r="S90" i="14"/>
  <c r="Q224" i="14"/>
  <c r="R224" i="14"/>
  <c r="S224" i="14"/>
  <c r="Q27" i="14"/>
  <c r="S27" i="14"/>
  <c r="R27" i="14"/>
  <c r="Q124" i="14"/>
  <c r="S124" i="14"/>
  <c r="R124" i="14"/>
  <c r="Q325" i="14"/>
  <c r="S325" i="14"/>
  <c r="R325" i="14"/>
  <c r="Q292" i="14"/>
  <c r="R292" i="14"/>
  <c r="S292" i="14"/>
  <c r="Q258" i="14"/>
  <c r="S258" i="14"/>
  <c r="R258" i="14"/>
  <c r="Q191" i="14"/>
  <c r="R191" i="14"/>
  <c r="S191" i="14"/>
  <c r="N258" i="14"/>
  <c r="O258" i="14"/>
  <c r="O393" i="14"/>
  <c r="N393" i="14"/>
  <c r="O157" i="14"/>
  <c r="N157" i="14"/>
  <c r="N90" i="14"/>
  <c r="O90" i="14"/>
  <c r="O191" i="14"/>
  <c r="N191" i="14"/>
  <c r="N124" i="14"/>
  <c r="O124" i="14"/>
  <c r="N59" i="14"/>
  <c r="O59" i="14"/>
  <c r="O359" i="14"/>
  <c r="N359" i="14"/>
  <c r="O325" i="14"/>
  <c r="N325" i="14"/>
  <c r="N224" i="14"/>
  <c r="O224" i="14"/>
  <c r="G27" i="14"/>
  <c r="N27" i="14"/>
  <c r="O27" i="14"/>
  <c r="N292" i="14"/>
  <c r="O292" i="14"/>
  <c r="M393" i="14"/>
  <c r="G393" i="14"/>
  <c r="M258" i="14"/>
  <c r="G258" i="14"/>
  <c r="M224" i="14"/>
  <c r="G224" i="14"/>
  <c r="M90" i="14"/>
  <c r="G90" i="14"/>
  <c r="M325" i="14"/>
  <c r="G325" i="14"/>
  <c r="M124" i="14"/>
  <c r="G124" i="14"/>
  <c r="M59" i="14"/>
  <c r="G59" i="14"/>
  <c r="M191" i="14"/>
  <c r="G191" i="14"/>
  <c r="M292" i="14"/>
  <c r="G292" i="14"/>
  <c r="M157" i="14"/>
  <c r="G157" i="14"/>
  <c r="M359" i="14"/>
  <c r="G359" i="14"/>
  <c r="M27" i="14"/>
  <c r="AA156" i="14"/>
  <c r="W59" i="14"/>
  <c r="I59" i="14"/>
  <c r="T59" i="14"/>
  <c r="U59" i="14"/>
  <c r="H59" i="14"/>
  <c r="E59" i="14"/>
  <c r="J59" i="14"/>
  <c r="X59" i="14"/>
  <c r="A60" i="14"/>
  <c r="F59" i="14"/>
  <c r="V59" i="14"/>
  <c r="Z59" i="14"/>
  <c r="K59" i="14"/>
  <c r="Y59" i="14"/>
  <c r="L59" i="14"/>
  <c r="AA324" i="14"/>
  <c r="AA190" i="14"/>
  <c r="H393" i="14"/>
  <c r="T393" i="14"/>
  <c r="A394" i="14"/>
  <c r="E393" i="14"/>
  <c r="I393" i="14"/>
  <c r="L393" i="14"/>
  <c r="Y393" i="14"/>
  <c r="V393" i="14"/>
  <c r="F393" i="14"/>
  <c r="W393" i="14"/>
  <c r="Z393" i="14"/>
  <c r="K393" i="14"/>
  <c r="U393" i="14"/>
  <c r="X393" i="14"/>
  <c r="J393" i="14"/>
  <c r="AA26" i="14"/>
  <c r="Y191" i="14"/>
  <c r="Z191" i="14"/>
  <c r="J191" i="14"/>
  <c r="K191" i="14"/>
  <c r="I191" i="14"/>
  <c r="U191" i="14"/>
  <c r="L191" i="14"/>
  <c r="T191" i="14"/>
  <c r="V191" i="14"/>
  <c r="H191" i="14"/>
  <c r="W191" i="14"/>
  <c r="A192" i="14"/>
  <c r="F191" i="14"/>
  <c r="X191" i="14"/>
  <c r="E191" i="14"/>
  <c r="A259" i="14"/>
  <c r="W258" i="14"/>
  <c r="K258" i="14"/>
  <c r="I258" i="14"/>
  <c r="H258" i="14"/>
  <c r="J258" i="14"/>
  <c r="X258" i="14"/>
  <c r="Y258" i="14"/>
  <c r="Z258" i="14"/>
  <c r="F258" i="14"/>
  <c r="V258" i="14"/>
  <c r="E258" i="14"/>
  <c r="T258" i="14"/>
  <c r="U258" i="14"/>
  <c r="L258" i="14"/>
  <c r="AA223" i="14"/>
  <c r="AA358" i="14"/>
  <c r="AA257" i="14"/>
  <c r="X224" i="14"/>
  <c r="E224" i="14"/>
  <c r="J224" i="14"/>
  <c r="H224" i="14"/>
  <c r="K224" i="14"/>
  <c r="V224" i="14"/>
  <c r="I224" i="14"/>
  <c r="T224" i="14"/>
  <c r="F224" i="14"/>
  <c r="L224" i="14"/>
  <c r="U224" i="14"/>
  <c r="Z224" i="14"/>
  <c r="A225" i="14"/>
  <c r="Y224" i="14"/>
  <c r="W224" i="14"/>
  <c r="AA58" i="14"/>
  <c r="W359" i="14"/>
  <c r="Y359" i="14"/>
  <c r="X359" i="14"/>
  <c r="F359" i="14"/>
  <c r="K359" i="14"/>
  <c r="A360" i="14"/>
  <c r="J359" i="14"/>
  <c r="H359" i="14"/>
  <c r="Z359" i="14"/>
  <c r="T359" i="14"/>
  <c r="E359" i="14"/>
  <c r="L359" i="14"/>
  <c r="U359" i="14"/>
  <c r="V359" i="14"/>
  <c r="I359" i="14"/>
  <c r="J90" i="14"/>
  <c r="W90" i="14"/>
  <c r="T90" i="14"/>
  <c r="E90" i="14"/>
  <c r="F90" i="14"/>
  <c r="X90" i="14"/>
  <c r="A91" i="14"/>
  <c r="I90" i="14"/>
  <c r="Z90" i="14"/>
  <c r="V90" i="14"/>
  <c r="K90" i="14"/>
  <c r="U90" i="14"/>
  <c r="H90" i="14"/>
  <c r="L90" i="14"/>
  <c r="Y90" i="14"/>
  <c r="AA291" i="14"/>
  <c r="Z124" i="14"/>
  <c r="W124" i="14"/>
  <c r="H124" i="14"/>
  <c r="J124" i="14"/>
  <c r="K124" i="14"/>
  <c r="L124" i="14"/>
  <c r="T124" i="14"/>
  <c r="F124" i="14"/>
  <c r="E124" i="14"/>
  <c r="I124" i="14"/>
  <c r="U124" i="14"/>
  <c r="A125" i="14"/>
  <c r="X124" i="14"/>
  <c r="Y124" i="14"/>
  <c r="V124" i="14"/>
  <c r="AA392" i="14"/>
  <c r="AA89" i="14"/>
  <c r="AA123" i="14"/>
  <c r="T157" i="14"/>
  <c r="U157" i="14"/>
  <c r="A158" i="14"/>
  <c r="X157" i="14"/>
  <c r="Y157" i="14"/>
  <c r="L157" i="14"/>
  <c r="Z157" i="14"/>
  <c r="E157" i="14"/>
  <c r="J157" i="14"/>
  <c r="H157" i="14"/>
  <c r="F157" i="14"/>
  <c r="K157" i="14"/>
  <c r="V157" i="14"/>
  <c r="I157" i="14"/>
  <c r="W157" i="14"/>
  <c r="V27" i="14"/>
  <c r="I27" i="14"/>
  <c r="K27" i="14"/>
  <c r="W27" i="14"/>
  <c r="X27" i="14"/>
  <c r="E27" i="14"/>
  <c r="H27" i="14"/>
  <c r="L27" i="14"/>
  <c r="F27" i="14"/>
  <c r="T27" i="14"/>
  <c r="U27" i="14"/>
  <c r="A28" i="14"/>
  <c r="Z27" i="14"/>
  <c r="J27" i="14"/>
  <c r="Y27" i="14"/>
  <c r="X325" i="14"/>
  <c r="F325" i="14"/>
  <c r="W325" i="14"/>
  <c r="Z325" i="14"/>
  <c r="K325" i="14"/>
  <c r="H325" i="14"/>
  <c r="E325" i="14"/>
  <c r="T325" i="14"/>
  <c r="I325" i="14"/>
  <c r="J325" i="14"/>
  <c r="Y325" i="14"/>
  <c r="L325" i="14"/>
  <c r="A326" i="14"/>
  <c r="U325" i="14"/>
  <c r="V325" i="14"/>
  <c r="I292" i="14"/>
  <c r="Z292" i="14"/>
  <c r="K292" i="14"/>
  <c r="A293" i="14"/>
  <c r="J292" i="14"/>
  <c r="X292" i="14"/>
  <c r="H292" i="14"/>
  <c r="U292" i="14"/>
  <c r="Y292" i="14"/>
  <c r="E292" i="14"/>
  <c r="V292" i="14"/>
  <c r="L292" i="14"/>
  <c r="F292" i="14"/>
  <c r="W292" i="14"/>
  <c r="T292" i="14"/>
  <c r="AA426" i="14" l="1"/>
  <c r="V427" i="14"/>
  <c r="Q427" i="14"/>
  <c r="S427" i="14"/>
  <c r="I427" i="14"/>
  <c r="K427" i="14"/>
  <c r="J427" i="14"/>
  <c r="U427" i="14"/>
  <c r="A428" i="14"/>
  <c r="X427" i="14"/>
  <c r="H427" i="14"/>
  <c r="Z427" i="14"/>
  <c r="N427" i="14"/>
  <c r="T427" i="14"/>
  <c r="Y427" i="14"/>
  <c r="E427" i="14"/>
  <c r="AA427" i="14" s="1"/>
  <c r="G427" i="14"/>
  <c r="O427" i="14"/>
  <c r="W427" i="14"/>
  <c r="R427" i="14"/>
  <c r="L427" i="14"/>
  <c r="M427" i="14"/>
  <c r="F427" i="14"/>
  <c r="Q60" i="14"/>
  <c r="R60" i="14"/>
  <c r="S60" i="14"/>
  <c r="Q360" i="14"/>
  <c r="S360" i="14"/>
  <c r="R360" i="14"/>
  <c r="Q394" i="14"/>
  <c r="S394" i="14"/>
  <c r="R394" i="14"/>
  <c r="Q259" i="14"/>
  <c r="R259" i="14"/>
  <c r="S259" i="14"/>
  <c r="Q293" i="14"/>
  <c r="S293" i="14"/>
  <c r="R293" i="14"/>
  <c r="Q158" i="14"/>
  <c r="R158" i="14"/>
  <c r="S158" i="14"/>
  <c r="Q225" i="14"/>
  <c r="S225" i="14"/>
  <c r="R225" i="14"/>
  <c r="Q326" i="14"/>
  <c r="R326" i="14"/>
  <c r="S326" i="14"/>
  <c r="Q28" i="14"/>
  <c r="R28" i="14"/>
  <c r="S28" i="14"/>
  <c r="Q91" i="14"/>
  <c r="R91" i="14"/>
  <c r="S91" i="14"/>
  <c r="Q125" i="14"/>
  <c r="R125" i="14"/>
  <c r="S125" i="14"/>
  <c r="Q192" i="14"/>
  <c r="R192" i="14"/>
  <c r="S192" i="14"/>
  <c r="N326" i="14"/>
  <c r="O326" i="14"/>
  <c r="O192" i="14"/>
  <c r="N192" i="14"/>
  <c r="G28" i="14"/>
  <c r="N28" i="14"/>
  <c r="O28" i="14"/>
  <c r="N125" i="14"/>
  <c r="O125" i="14"/>
  <c r="N60" i="14"/>
  <c r="O60" i="14"/>
  <c r="O158" i="14"/>
  <c r="N158" i="14"/>
  <c r="O360" i="14"/>
  <c r="N360" i="14"/>
  <c r="N293" i="14"/>
  <c r="O293" i="14"/>
  <c r="O394" i="14"/>
  <c r="N394" i="14"/>
  <c r="N91" i="14"/>
  <c r="O91" i="14"/>
  <c r="N259" i="14"/>
  <c r="O259" i="14"/>
  <c r="O225" i="14"/>
  <c r="N225" i="14"/>
  <c r="M158" i="14"/>
  <c r="G158" i="14"/>
  <c r="M394" i="14"/>
  <c r="G394" i="14"/>
  <c r="M192" i="14"/>
  <c r="G192" i="14"/>
  <c r="M360" i="14"/>
  <c r="G360" i="14"/>
  <c r="M91" i="14"/>
  <c r="G91" i="14"/>
  <c r="M125" i="14"/>
  <c r="G125" i="14"/>
  <c r="M326" i="14"/>
  <c r="G326" i="14"/>
  <c r="M293" i="14"/>
  <c r="G293" i="14"/>
  <c r="M60" i="14"/>
  <c r="G60" i="14"/>
  <c r="M259" i="14"/>
  <c r="G259" i="14"/>
  <c r="M225" i="14"/>
  <c r="G225" i="14"/>
  <c r="M28" i="14"/>
  <c r="AA292" i="14"/>
  <c r="W225" i="14"/>
  <c r="Y225" i="14"/>
  <c r="F225" i="14"/>
  <c r="V225" i="14"/>
  <c r="I225" i="14"/>
  <c r="T225" i="14"/>
  <c r="Z225" i="14"/>
  <c r="A226" i="14"/>
  <c r="X225" i="14"/>
  <c r="J225" i="14"/>
  <c r="E225" i="14"/>
  <c r="K225" i="14"/>
  <c r="H225" i="14"/>
  <c r="L225" i="14"/>
  <c r="U225" i="14"/>
  <c r="A92" i="14"/>
  <c r="Y91" i="14"/>
  <c r="E91" i="14"/>
  <c r="U91" i="14"/>
  <c r="H91" i="14"/>
  <c r="T91" i="14"/>
  <c r="W91" i="14"/>
  <c r="V91" i="14"/>
  <c r="Z91" i="14"/>
  <c r="J91" i="14"/>
  <c r="F91" i="14"/>
  <c r="K91" i="14"/>
  <c r="I91" i="14"/>
  <c r="X91" i="14"/>
  <c r="L91" i="14"/>
  <c r="X259" i="14"/>
  <c r="K259" i="14"/>
  <c r="U259" i="14"/>
  <c r="E259" i="14"/>
  <c r="W259" i="14"/>
  <c r="Y259" i="14"/>
  <c r="Z259" i="14"/>
  <c r="L259" i="14"/>
  <c r="F259" i="14"/>
  <c r="H259" i="14"/>
  <c r="A260" i="14"/>
  <c r="T259" i="14"/>
  <c r="I259" i="14"/>
  <c r="V259" i="14"/>
  <c r="J259" i="14"/>
  <c r="AA393" i="14"/>
  <c r="U60" i="14"/>
  <c r="J60" i="14"/>
  <c r="A61" i="14"/>
  <c r="K60" i="14"/>
  <c r="L60" i="14"/>
  <c r="W60" i="14"/>
  <c r="V60" i="14"/>
  <c r="F60" i="14"/>
  <c r="H60" i="14"/>
  <c r="E60" i="14"/>
  <c r="X60" i="14"/>
  <c r="Y60" i="14"/>
  <c r="T60" i="14"/>
  <c r="Z60" i="14"/>
  <c r="I60" i="14"/>
  <c r="AA191" i="14"/>
  <c r="J28" i="14"/>
  <c r="Z28" i="14"/>
  <c r="Y28" i="14"/>
  <c r="L28" i="14"/>
  <c r="F28" i="14"/>
  <c r="W28" i="14"/>
  <c r="I28" i="14"/>
  <c r="V28" i="14"/>
  <c r="U28" i="14"/>
  <c r="A29" i="14"/>
  <c r="T28" i="14"/>
  <c r="H28" i="14"/>
  <c r="E28" i="14"/>
  <c r="K28" i="14"/>
  <c r="X28" i="14"/>
  <c r="L394" i="14"/>
  <c r="J394" i="14"/>
  <c r="E394" i="14"/>
  <c r="I394" i="14"/>
  <c r="F394" i="14"/>
  <c r="K394" i="14"/>
  <c r="U394" i="14"/>
  <c r="H394" i="14"/>
  <c r="T394" i="14"/>
  <c r="V394" i="14"/>
  <c r="A395" i="14"/>
  <c r="W394" i="14"/>
  <c r="Y394" i="14"/>
  <c r="X394" i="14"/>
  <c r="Z394" i="14"/>
  <c r="AA258" i="14"/>
  <c r="K192" i="14"/>
  <c r="I192" i="14"/>
  <c r="T192" i="14"/>
  <c r="F192" i="14"/>
  <c r="E192" i="14"/>
  <c r="L192" i="14"/>
  <c r="W192" i="14"/>
  <c r="Z192" i="14"/>
  <c r="J192" i="14"/>
  <c r="X192" i="14"/>
  <c r="V192" i="14"/>
  <c r="Y192" i="14"/>
  <c r="H192" i="14"/>
  <c r="U192" i="14"/>
  <c r="A193" i="14"/>
  <c r="AA59" i="14"/>
  <c r="AA325" i="14"/>
  <c r="Z360" i="14"/>
  <c r="W360" i="14"/>
  <c r="U360" i="14"/>
  <c r="H360" i="14"/>
  <c r="X360" i="14"/>
  <c r="L360" i="14"/>
  <c r="F360" i="14"/>
  <c r="A361" i="14"/>
  <c r="I360" i="14"/>
  <c r="Y360" i="14"/>
  <c r="J360" i="14"/>
  <c r="K360" i="14"/>
  <c r="V360" i="14"/>
  <c r="T360" i="14"/>
  <c r="E360" i="14"/>
  <c r="AA124" i="14"/>
  <c r="AA90" i="14"/>
  <c r="AA157" i="14"/>
  <c r="I125" i="14"/>
  <c r="V125" i="14"/>
  <c r="W125" i="14"/>
  <c r="U125" i="14"/>
  <c r="J125" i="14"/>
  <c r="E125" i="14"/>
  <c r="A126" i="14"/>
  <c r="T125" i="14"/>
  <c r="F125" i="14"/>
  <c r="H125" i="14"/>
  <c r="Z125" i="14"/>
  <c r="L125" i="14"/>
  <c r="X125" i="14"/>
  <c r="K125" i="14"/>
  <c r="Y125" i="14"/>
  <c r="AA224" i="14"/>
  <c r="I293" i="14"/>
  <c r="E293" i="14"/>
  <c r="F293" i="14"/>
  <c r="W293" i="14"/>
  <c r="Y293" i="14"/>
  <c r="L293" i="14"/>
  <c r="X293" i="14"/>
  <c r="J293" i="14"/>
  <c r="V293" i="14"/>
  <c r="A294" i="14"/>
  <c r="Z293" i="14"/>
  <c r="U293" i="14"/>
  <c r="K293" i="14"/>
  <c r="T293" i="14"/>
  <c r="H293" i="14"/>
  <c r="AA27" i="14"/>
  <c r="W326" i="14"/>
  <c r="F326" i="14"/>
  <c r="Y326" i="14"/>
  <c r="K326" i="14"/>
  <c r="L326" i="14"/>
  <c r="J326" i="14"/>
  <c r="Z326" i="14"/>
  <c r="X326" i="14"/>
  <c r="T326" i="14"/>
  <c r="V326" i="14"/>
  <c r="U326" i="14"/>
  <c r="A327" i="14"/>
  <c r="H326" i="14"/>
  <c r="I326" i="14"/>
  <c r="E326" i="14"/>
  <c r="X158" i="14"/>
  <c r="V158" i="14"/>
  <c r="Y158" i="14"/>
  <c r="J158" i="14"/>
  <c r="U158" i="14"/>
  <c r="T158" i="14"/>
  <c r="E158" i="14"/>
  <c r="Z158" i="14"/>
  <c r="A159" i="14"/>
  <c r="L158" i="14"/>
  <c r="I158" i="14"/>
  <c r="H158" i="14"/>
  <c r="F158" i="14"/>
  <c r="K158" i="14"/>
  <c r="W158" i="14"/>
  <c r="AA359" i="14"/>
  <c r="F428" i="14" l="1"/>
  <c r="N428" i="14"/>
  <c r="Z428" i="14"/>
  <c r="V428" i="14"/>
  <c r="M428" i="14"/>
  <c r="R428" i="14"/>
  <c r="J428" i="14"/>
  <c r="L428" i="14"/>
  <c r="I428" i="14"/>
  <c r="U428" i="14"/>
  <c r="K428" i="14"/>
  <c r="Q428" i="14"/>
  <c r="H428" i="14"/>
  <c r="A429" i="14"/>
  <c r="G428" i="14"/>
  <c r="T428" i="14"/>
  <c r="X428" i="14"/>
  <c r="Y428" i="14"/>
  <c r="E428" i="14"/>
  <c r="W428" i="14"/>
  <c r="O428" i="14"/>
  <c r="S428" i="14"/>
  <c r="Q159" i="14"/>
  <c r="S159" i="14"/>
  <c r="R159" i="14"/>
  <c r="Q361" i="14"/>
  <c r="R361" i="14"/>
  <c r="S361" i="14"/>
  <c r="Q226" i="14"/>
  <c r="R226" i="14"/>
  <c r="S226" i="14"/>
  <c r="Q395" i="14"/>
  <c r="R395" i="14"/>
  <c r="S395" i="14"/>
  <c r="Q61" i="14"/>
  <c r="S61" i="14"/>
  <c r="R61" i="14"/>
  <c r="Q260" i="14"/>
  <c r="S260" i="14"/>
  <c r="R260" i="14"/>
  <c r="Q92" i="14"/>
  <c r="R92" i="14"/>
  <c r="S92" i="14"/>
  <c r="Q29" i="14"/>
  <c r="R29" i="14"/>
  <c r="S29" i="14"/>
  <c r="Q294" i="14"/>
  <c r="R294" i="14"/>
  <c r="S294" i="14"/>
  <c r="Q126" i="14"/>
  <c r="R126" i="14"/>
  <c r="S126" i="14"/>
  <c r="Q327" i="14"/>
  <c r="S327" i="14"/>
  <c r="R327" i="14"/>
  <c r="Q193" i="14"/>
  <c r="S193" i="14"/>
  <c r="R193" i="14"/>
  <c r="N260" i="14"/>
  <c r="O260" i="14"/>
  <c r="N294" i="14"/>
  <c r="O294" i="14"/>
  <c r="O159" i="14"/>
  <c r="N159" i="14"/>
  <c r="O395" i="14"/>
  <c r="N395" i="14"/>
  <c r="G29" i="14"/>
  <c r="O29" i="14"/>
  <c r="N29" i="14"/>
  <c r="N226" i="14"/>
  <c r="O226" i="14"/>
  <c r="N327" i="14"/>
  <c r="O327" i="14"/>
  <c r="N193" i="14"/>
  <c r="O193" i="14"/>
  <c r="O361" i="14"/>
  <c r="N361" i="14"/>
  <c r="N126" i="14"/>
  <c r="O126" i="14"/>
  <c r="O61" i="14"/>
  <c r="N61" i="14"/>
  <c r="N92" i="14"/>
  <c r="O92" i="14"/>
  <c r="M92" i="14"/>
  <c r="G92" i="14"/>
  <c r="M260" i="14"/>
  <c r="G260" i="14"/>
  <c r="M126" i="14"/>
  <c r="G126" i="14"/>
  <c r="M294" i="14"/>
  <c r="G294" i="14"/>
  <c r="M395" i="14"/>
  <c r="G395" i="14"/>
  <c r="M361" i="14"/>
  <c r="G361" i="14"/>
  <c r="M159" i="14"/>
  <c r="G159" i="14"/>
  <c r="M193" i="14"/>
  <c r="G193" i="14"/>
  <c r="M61" i="14"/>
  <c r="G61" i="14"/>
  <c r="M327" i="14"/>
  <c r="G327" i="14"/>
  <c r="M226" i="14"/>
  <c r="G226" i="14"/>
  <c r="M29" i="14"/>
  <c r="AA225" i="14"/>
  <c r="Y361" i="14"/>
  <c r="K361" i="14"/>
  <c r="L361" i="14"/>
  <c r="A362" i="14"/>
  <c r="E361" i="14"/>
  <c r="W361" i="14"/>
  <c r="J361" i="14"/>
  <c r="Z361" i="14"/>
  <c r="V361" i="14"/>
  <c r="X361" i="14"/>
  <c r="H361" i="14"/>
  <c r="I361" i="14"/>
  <c r="T361" i="14"/>
  <c r="U361" i="14"/>
  <c r="F361" i="14"/>
  <c r="U61" i="14"/>
  <c r="W61" i="14"/>
  <c r="T61" i="14"/>
  <c r="V61" i="14"/>
  <c r="F61" i="14"/>
  <c r="Y61" i="14"/>
  <c r="X61" i="14"/>
  <c r="H61" i="14"/>
  <c r="K61" i="14"/>
  <c r="J61" i="14"/>
  <c r="Z61" i="14"/>
  <c r="I61" i="14"/>
  <c r="A62" i="14"/>
  <c r="L61" i="14"/>
  <c r="E61" i="14"/>
  <c r="I327" i="14"/>
  <c r="L327" i="14"/>
  <c r="T327" i="14"/>
  <c r="J327" i="14"/>
  <c r="X327" i="14"/>
  <c r="K327" i="14"/>
  <c r="A328" i="14"/>
  <c r="F327" i="14"/>
  <c r="W327" i="14"/>
  <c r="V327" i="14"/>
  <c r="Z327" i="14"/>
  <c r="H327" i="14"/>
  <c r="E327" i="14"/>
  <c r="U327" i="14"/>
  <c r="Y327" i="14"/>
  <c r="AA158" i="14"/>
  <c r="AA259" i="14"/>
  <c r="Z226" i="14"/>
  <c r="U226" i="14"/>
  <c r="T226" i="14"/>
  <c r="A227" i="14"/>
  <c r="H226" i="14"/>
  <c r="J226" i="14"/>
  <c r="W226" i="14"/>
  <c r="F226" i="14"/>
  <c r="X226" i="14"/>
  <c r="E226" i="14"/>
  <c r="I226" i="14"/>
  <c r="L226" i="14"/>
  <c r="V226" i="14"/>
  <c r="K226" i="14"/>
  <c r="Y226" i="14"/>
  <c r="T159" i="14"/>
  <c r="Y159" i="14"/>
  <c r="K159" i="14"/>
  <c r="U159" i="14"/>
  <c r="A160" i="14"/>
  <c r="I159" i="14"/>
  <c r="F159" i="14"/>
  <c r="Z159" i="14"/>
  <c r="J159" i="14"/>
  <c r="W159" i="14"/>
  <c r="V159" i="14"/>
  <c r="L159" i="14"/>
  <c r="E159" i="14"/>
  <c r="X159" i="14"/>
  <c r="H159" i="14"/>
  <c r="AA91" i="14"/>
  <c r="V29" i="14"/>
  <c r="Y29" i="14"/>
  <c r="I29" i="14"/>
  <c r="A30" i="14"/>
  <c r="M30" i="14" s="1"/>
  <c r="K29" i="14"/>
  <c r="J29" i="14"/>
  <c r="U29" i="14"/>
  <c r="W29" i="14"/>
  <c r="E29" i="14"/>
  <c r="X29" i="14"/>
  <c r="L29" i="14"/>
  <c r="T29" i="14"/>
  <c r="F29" i="14"/>
  <c r="Z29" i="14"/>
  <c r="H29" i="14"/>
  <c r="AA60" i="14"/>
  <c r="Z92" i="14"/>
  <c r="F92" i="14"/>
  <c r="K92" i="14"/>
  <c r="V92" i="14"/>
  <c r="X92" i="14"/>
  <c r="E92" i="14"/>
  <c r="W92" i="14"/>
  <c r="H92" i="14"/>
  <c r="I92" i="14"/>
  <c r="A93" i="14"/>
  <c r="T92" i="14"/>
  <c r="Y92" i="14"/>
  <c r="L92" i="14"/>
  <c r="U92" i="14"/>
  <c r="J92" i="14"/>
  <c r="E395" i="14"/>
  <c r="J395" i="14"/>
  <c r="U395" i="14"/>
  <c r="A396" i="14"/>
  <c r="K395" i="14"/>
  <c r="X395" i="14"/>
  <c r="W395" i="14"/>
  <c r="L395" i="14"/>
  <c r="V395" i="14"/>
  <c r="F395" i="14"/>
  <c r="Y395" i="14"/>
  <c r="H395" i="14"/>
  <c r="I395" i="14"/>
  <c r="Z395" i="14"/>
  <c r="T395" i="14"/>
  <c r="AA360" i="14"/>
  <c r="K260" i="14"/>
  <c r="A261" i="14"/>
  <c r="U260" i="14"/>
  <c r="E260" i="14"/>
  <c r="J260" i="14"/>
  <c r="L260" i="14"/>
  <c r="T260" i="14"/>
  <c r="H260" i="14"/>
  <c r="Y260" i="14"/>
  <c r="X260" i="14"/>
  <c r="W260" i="14"/>
  <c r="F260" i="14"/>
  <c r="Z260" i="14"/>
  <c r="I260" i="14"/>
  <c r="V260" i="14"/>
  <c r="K294" i="14"/>
  <c r="Z294" i="14"/>
  <c r="L294" i="14"/>
  <c r="T294" i="14"/>
  <c r="I294" i="14"/>
  <c r="U294" i="14"/>
  <c r="J294" i="14"/>
  <c r="A295" i="14"/>
  <c r="X294" i="14"/>
  <c r="E294" i="14"/>
  <c r="W294" i="14"/>
  <c r="H294" i="14"/>
  <c r="F294" i="14"/>
  <c r="Y294" i="14"/>
  <c r="V294" i="14"/>
  <c r="AA192" i="14"/>
  <c r="A194" i="14"/>
  <c r="I193" i="14"/>
  <c r="F193" i="14"/>
  <c r="H193" i="14"/>
  <c r="J193" i="14"/>
  <c r="K193" i="14"/>
  <c r="V193" i="14"/>
  <c r="L193" i="14"/>
  <c r="W193" i="14"/>
  <c r="T193" i="14"/>
  <c r="U193" i="14"/>
  <c r="E193" i="14"/>
  <c r="Z193" i="14"/>
  <c r="X193" i="14"/>
  <c r="Y193" i="14"/>
  <c r="AA28" i="14"/>
  <c r="AA326" i="14"/>
  <c r="U126" i="14"/>
  <c r="Z126" i="14"/>
  <c r="F126" i="14"/>
  <c r="T126" i="14"/>
  <c r="A127" i="14"/>
  <c r="J126" i="14"/>
  <c r="Y126" i="14"/>
  <c r="X126" i="14"/>
  <c r="I126" i="14"/>
  <c r="W126" i="14"/>
  <c r="K126" i="14"/>
  <c r="H126" i="14"/>
  <c r="E126" i="14"/>
  <c r="V126" i="14"/>
  <c r="L126" i="14"/>
  <c r="AA394" i="14"/>
  <c r="AA293" i="14"/>
  <c r="AA125" i="14"/>
  <c r="Y429" i="14" l="1"/>
  <c r="V429" i="14"/>
  <c r="Z429" i="14"/>
  <c r="Q429" i="14"/>
  <c r="G429" i="14"/>
  <c r="X429" i="14"/>
  <c r="H429" i="14"/>
  <c r="U429" i="14"/>
  <c r="W429" i="14"/>
  <c r="T429" i="14"/>
  <c r="F429" i="14"/>
  <c r="M429" i="14"/>
  <c r="J429" i="14"/>
  <c r="R429" i="14"/>
  <c r="L429" i="14"/>
  <c r="A430" i="14"/>
  <c r="E429" i="14"/>
  <c r="K429" i="14"/>
  <c r="S429" i="14"/>
  <c r="O429" i="14"/>
  <c r="I429" i="14"/>
  <c r="N429" i="14"/>
  <c r="AA428" i="14"/>
  <c r="Q328" i="14"/>
  <c r="R328" i="14"/>
  <c r="S328" i="14"/>
  <c r="Q362" i="14"/>
  <c r="R362" i="14"/>
  <c r="S362" i="14"/>
  <c r="Q30" i="14"/>
  <c r="S30" i="14"/>
  <c r="R30" i="14"/>
  <c r="Q93" i="14"/>
  <c r="S93" i="14"/>
  <c r="R93" i="14"/>
  <c r="Q396" i="14"/>
  <c r="R396" i="14"/>
  <c r="S396" i="14"/>
  <c r="Q227" i="14"/>
  <c r="S227" i="14"/>
  <c r="R227" i="14"/>
  <c r="Q160" i="14"/>
  <c r="S160" i="14"/>
  <c r="R160" i="14"/>
  <c r="Q261" i="14"/>
  <c r="S261" i="14"/>
  <c r="R261" i="14"/>
  <c r="Q127" i="14"/>
  <c r="R127" i="14"/>
  <c r="S127" i="14"/>
  <c r="Q295" i="14"/>
  <c r="S295" i="14"/>
  <c r="R295" i="14"/>
  <c r="Q194" i="14"/>
  <c r="S194" i="14"/>
  <c r="R194" i="14"/>
  <c r="Q62" i="14"/>
  <c r="R62" i="14"/>
  <c r="S62" i="14"/>
  <c r="O194" i="14"/>
  <c r="N194" i="14"/>
  <c r="O62" i="14"/>
  <c r="N62" i="14"/>
  <c r="N328" i="14"/>
  <c r="O328" i="14"/>
  <c r="N295" i="14"/>
  <c r="O295" i="14"/>
  <c r="O362" i="14"/>
  <c r="N362" i="14"/>
  <c r="N93" i="14"/>
  <c r="O93" i="14"/>
  <c r="N160" i="14"/>
  <c r="O160" i="14"/>
  <c r="O227" i="14"/>
  <c r="N227" i="14"/>
  <c r="N127" i="14"/>
  <c r="O127" i="14"/>
  <c r="G30" i="14"/>
  <c r="O30" i="14"/>
  <c r="N30" i="14"/>
  <c r="O396" i="14"/>
  <c r="N396" i="14"/>
  <c r="N261" i="14"/>
  <c r="O261" i="14"/>
  <c r="M62" i="14"/>
  <c r="G62" i="14"/>
  <c r="M295" i="14"/>
  <c r="G295" i="14"/>
  <c r="M362" i="14"/>
  <c r="G362" i="14"/>
  <c r="M194" i="14"/>
  <c r="G194" i="14"/>
  <c r="M396" i="14"/>
  <c r="G396" i="14"/>
  <c r="M160" i="14"/>
  <c r="G160" i="14"/>
  <c r="M227" i="14"/>
  <c r="G227" i="14"/>
  <c r="M328" i="14"/>
  <c r="G328" i="14"/>
  <c r="M93" i="14"/>
  <c r="G93" i="14"/>
  <c r="M261" i="14"/>
  <c r="G261" i="14"/>
  <c r="M127" i="14"/>
  <c r="G127" i="14"/>
  <c r="F328" i="14"/>
  <c r="A329" i="14"/>
  <c r="I328" i="14"/>
  <c r="E328" i="14"/>
  <c r="K328" i="14"/>
  <c r="Z328" i="14"/>
  <c r="Y328" i="14"/>
  <c r="U328" i="14"/>
  <c r="J328" i="14"/>
  <c r="T328" i="14"/>
  <c r="W328" i="14"/>
  <c r="X328" i="14"/>
  <c r="V328" i="14"/>
  <c r="L328" i="14"/>
  <c r="H328" i="14"/>
  <c r="AA126" i="14"/>
  <c r="V227" i="14"/>
  <c r="T227" i="14"/>
  <c r="Y227" i="14"/>
  <c r="X227" i="14"/>
  <c r="K227" i="14"/>
  <c r="W227" i="14"/>
  <c r="Z227" i="14"/>
  <c r="F227" i="14"/>
  <c r="I227" i="14"/>
  <c r="U227" i="14"/>
  <c r="A228" i="14"/>
  <c r="H227" i="14"/>
  <c r="E227" i="14"/>
  <c r="J227" i="14"/>
  <c r="L227" i="14"/>
  <c r="AA29" i="14"/>
  <c r="AA361" i="14"/>
  <c r="Z194" i="14"/>
  <c r="F194" i="14"/>
  <c r="Y194" i="14"/>
  <c r="E194" i="14"/>
  <c r="H194" i="14"/>
  <c r="U194" i="14"/>
  <c r="V194" i="14"/>
  <c r="X194" i="14"/>
  <c r="I194" i="14"/>
  <c r="W194" i="14"/>
  <c r="A195" i="14"/>
  <c r="K194" i="14"/>
  <c r="L194" i="14"/>
  <c r="J194" i="14"/>
  <c r="T194" i="14"/>
  <c r="AA92" i="14"/>
  <c r="AA159" i="14"/>
  <c r="Y396" i="14"/>
  <c r="V396" i="14"/>
  <c r="F396" i="14"/>
  <c r="Z396" i="14"/>
  <c r="E396" i="14"/>
  <c r="L396" i="14"/>
  <c r="U396" i="14"/>
  <c r="I396" i="14"/>
  <c r="T396" i="14"/>
  <c r="W396" i="14"/>
  <c r="J396" i="14"/>
  <c r="K396" i="14"/>
  <c r="A397" i="14"/>
  <c r="X396" i="14"/>
  <c r="H396" i="14"/>
  <c r="I127" i="14"/>
  <c r="U127" i="14"/>
  <c r="H127" i="14"/>
  <c r="J127" i="14"/>
  <c r="Y127" i="14"/>
  <c r="L127" i="14"/>
  <c r="K127" i="14"/>
  <c r="W127" i="14"/>
  <c r="E127" i="14"/>
  <c r="A128" i="14"/>
  <c r="T127" i="14"/>
  <c r="X127" i="14"/>
  <c r="F127" i="14"/>
  <c r="V127" i="14"/>
  <c r="Z127" i="14"/>
  <c r="AA61" i="14"/>
  <c r="A363" i="14"/>
  <c r="U362" i="14"/>
  <c r="W362" i="14"/>
  <c r="H362" i="14"/>
  <c r="V362" i="14"/>
  <c r="K362" i="14"/>
  <c r="L362" i="14"/>
  <c r="I362" i="14"/>
  <c r="J362" i="14"/>
  <c r="F362" i="14"/>
  <c r="Y362" i="14"/>
  <c r="E362" i="14"/>
  <c r="X362" i="14"/>
  <c r="T362" i="14"/>
  <c r="Z362" i="14"/>
  <c r="AA260" i="14"/>
  <c r="Z261" i="14"/>
  <c r="U261" i="14"/>
  <c r="X261" i="14"/>
  <c r="K261" i="14"/>
  <c r="T261" i="14"/>
  <c r="A262" i="14"/>
  <c r="L261" i="14"/>
  <c r="E261" i="14"/>
  <c r="V261" i="14"/>
  <c r="W261" i="14"/>
  <c r="Y261" i="14"/>
  <c r="F261" i="14"/>
  <c r="J261" i="14"/>
  <c r="H261" i="14"/>
  <c r="I261" i="14"/>
  <c r="AA395" i="14"/>
  <c r="AA193" i="14"/>
  <c r="AA327" i="14"/>
  <c r="H62" i="14"/>
  <c r="Y62" i="14"/>
  <c r="J62" i="14"/>
  <c r="K62" i="14"/>
  <c r="T62" i="14"/>
  <c r="I62" i="14"/>
  <c r="L62" i="14"/>
  <c r="W62" i="14"/>
  <c r="X62" i="14"/>
  <c r="E62" i="14"/>
  <c r="F62" i="14"/>
  <c r="V62" i="14"/>
  <c r="Z62" i="14"/>
  <c r="A63" i="14"/>
  <c r="U62" i="14"/>
  <c r="A31" i="14"/>
  <c r="J30" i="14"/>
  <c r="K30" i="14"/>
  <c r="H30" i="14"/>
  <c r="Y30" i="14"/>
  <c r="Z30" i="14"/>
  <c r="F30" i="14"/>
  <c r="T30" i="14"/>
  <c r="L30" i="14"/>
  <c r="V30" i="14"/>
  <c r="I30" i="14"/>
  <c r="W30" i="14"/>
  <c r="E30" i="14"/>
  <c r="X30" i="14"/>
  <c r="U30" i="14"/>
  <c r="AA226" i="14"/>
  <c r="AA294" i="14"/>
  <c r="Z295" i="14"/>
  <c r="J295" i="14"/>
  <c r="T295" i="14"/>
  <c r="K295" i="14"/>
  <c r="A296" i="14"/>
  <c r="X295" i="14"/>
  <c r="U295" i="14"/>
  <c r="E295" i="14"/>
  <c r="V295" i="14"/>
  <c r="I295" i="14"/>
  <c r="L295" i="14"/>
  <c r="Y295" i="14"/>
  <c r="H295" i="14"/>
  <c r="W295" i="14"/>
  <c r="F295" i="14"/>
  <c r="Y93" i="14"/>
  <c r="E93" i="14"/>
  <c r="A94" i="14"/>
  <c r="W93" i="14"/>
  <c r="L93" i="14"/>
  <c r="X93" i="14"/>
  <c r="V93" i="14"/>
  <c r="Z93" i="14"/>
  <c r="J93" i="14"/>
  <c r="F93" i="14"/>
  <c r="U93" i="14"/>
  <c r="T93" i="14"/>
  <c r="H93" i="14"/>
  <c r="K93" i="14"/>
  <c r="I93" i="14"/>
  <c r="X160" i="14"/>
  <c r="Z160" i="14"/>
  <c r="I160" i="14"/>
  <c r="K160" i="14"/>
  <c r="Y160" i="14"/>
  <c r="T160" i="14"/>
  <c r="U160" i="14"/>
  <c r="V160" i="14"/>
  <c r="F160" i="14"/>
  <c r="H160" i="14"/>
  <c r="L160" i="14"/>
  <c r="J160" i="14"/>
  <c r="W160" i="14"/>
  <c r="A161" i="14"/>
  <c r="E160" i="14"/>
  <c r="T430" i="14" l="1"/>
  <c r="N430" i="14"/>
  <c r="X430" i="14"/>
  <c r="H430" i="14"/>
  <c r="Z430" i="14"/>
  <c r="O430" i="14"/>
  <c r="S430" i="14"/>
  <c r="M430" i="14"/>
  <c r="G430" i="14"/>
  <c r="F430" i="14"/>
  <c r="Y430" i="14"/>
  <c r="V430" i="14"/>
  <c r="R430" i="14"/>
  <c r="W430" i="14"/>
  <c r="L430" i="14"/>
  <c r="E430" i="14"/>
  <c r="AA430" i="14" s="1"/>
  <c r="J430" i="14"/>
  <c r="U430" i="14"/>
  <c r="A431" i="14"/>
  <c r="I430" i="14"/>
  <c r="K430" i="14"/>
  <c r="Q430" i="14"/>
  <c r="AA429" i="14"/>
  <c r="Q228" i="14"/>
  <c r="S228" i="14"/>
  <c r="R228" i="14"/>
  <c r="Q94" i="14"/>
  <c r="S94" i="14"/>
  <c r="R94" i="14"/>
  <c r="Q128" i="14"/>
  <c r="S128" i="14"/>
  <c r="R128" i="14"/>
  <c r="Q31" i="14"/>
  <c r="R31" i="14"/>
  <c r="S31" i="14"/>
  <c r="R363" i="14"/>
  <c r="Q363" i="14"/>
  <c r="S363" i="14"/>
  <c r="Q329" i="14"/>
  <c r="R329" i="14"/>
  <c r="S329" i="14"/>
  <c r="Q296" i="14"/>
  <c r="R296" i="14"/>
  <c r="S296" i="14"/>
  <c r="Q63" i="14"/>
  <c r="R63" i="14"/>
  <c r="S63" i="14"/>
  <c r="Q262" i="14"/>
  <c r="S262" i="14"/>
  <c r="R262" i="14"/>
  <c r="Q397" i="14"/>
  <c r="R397" i="14"/>
  <c r="S397" i="14"/>
  <c r="Q195" i="14"/>
  <c r="S195" i="14"/>
  <c r="R195" i="14"/>
  <c r="Q161" i="14"/>
  <c r="R161" i="14"/>
  <c r="S161" i="14"/>
  <c r="O161" i="14"/>
  <c r="N161" i="14"/>
  <c r="N262" i="14"/>
  <c r="O262" i="14"/>
  <c r="N397" i="14"/>
  <c r="O397" i="14"/>
  <c r="O195" i="14"/>
  <c r="N195" i="14"/>
  <c r="O228" i="14"/>
  <c r="N228" i="14"/>
  <c r="G31" i="14"/>
  <c r="O31" i="14"/>
  <c r="N31" i="14"/>
  <c r="N296" i="14"/>
  <c r="O296" i="14"/>
  <c r="N363" i="14"/>
  <c r="O363" i="14"/>
  <c r="N329" i="14"/>
  <c r="O329" i="14"/>
  <c r="N128" i="14"/>
  <c r="O128" i="14"/>
  <c r="O63" i="14"/>
  <c r="N63" i="14"/>
  <c r="O94" i="14"/>
  <c r="N94" i="14"/>
  <c r="M329" i="14"/>
  <c r="G329" i="14"/>
  <c r="M63" i="14"/>
  <c r="G63" i="14"/>
  <c r="M195" i="14"/>
  <c r="G195" i="14"/>
  <c r="M161" i="14"/>
  <c r="G161" i="14"/>
  <c r="M228" i="14"/>
  <c r="G228" i="14"/>
  <c r="M128" i="14"/>
  <c r="G128" i="14"/>
  <c r="M363" i="14"/>
  <c r="G363" i="14"/>
  <c r="M262" i="14"/>
  <c r="G262" i="14"/>
  <c r="M296" i="14"/>
  <c r="G296" i="14"/>
  <c r="M397" i="14"/>
  <c r="G397" i="14"/>
  <c r="M94" i="14"/>
  <c r="G94" i="14"/>
  <c r="M31" i="14"/>
  <c r="AA194" i="14"/>
  <c r="E397" i="14"/>
  <c r="A398" i="14"/>
  <c r="J397" i="14"/>
  <c r="K397" i="14"/>
  <c r="T397" i="14"/>
  <c r="V397" i="14"/>
  <c r="X397" i="14"/>
  <c r="U397" i="14"/>
  <c r="F397" i="14"/>
  <c r="W397" i="14"/>
  <c r="Y397" i="14"/>
  <c r="H397" i="14"/>
  <c r="I397" i="14"/>
  <c r="L397" i="14"/>
  <c r="Z397" i="14"/>
  <c r="A129" i="14"/>
  <c r="E128" i="14"/>
  <c r="Z128" i="14"/>
  <c r="W128" i="14"/>
  <c r="V128" i="14"/>
  <c r="U128" i="14"/>
  <c r="X128" i="14"/>
  <c r="F128" i="14"/>
  <c r="L128" i="14"/>
  <c r="Y128" i="14"/>
  <c r="I128" i="14"/>
  <c r="T128" i="14"/>
  <c r="H128" i="14"/>
  <c r="J128" i="14"/>
  <c r="K128" i="14"/>
  <c r="AA30" i="14"/>
  <c r="AA261" i="14"/>
  <c r="X31" i="14"/>
  <c r="E31" i="14"/>
  <c r="I31" i="14"/>
  <c r="A32" i="14"/>
  <c r="J31" i="14"/>
  <c r="Y31" i="14"/>
  <c r="F31" i="14"/>
  <c r="Z31" i="14"/>
  <c r="K31" i="14"/>
  <c r="H31" i="14"/>
  <c r="U31" i="14"/>
  <c r="W31" i="14"/>
  <c r="L31" i="14"/>
  <c r="T31" i="14"/>
  <c r="V31" i="14"/>
  <c r="AA127" i="14"/>
  <c r="AA328" i="14"/>
  <c r="AA295" i="14"/>
  <c r="E195" i="14"/>
  <c r="A196" i="14"/>
  <c r="T195" i="14"/>
  <c r="Z195" i="14"/>
  <c r="H195" i="14"/>
  <c r="I195" i="14"/>
  <c r="V195" i="14"/>
  <c r="Y195" i="14"/>
  <c r="J195" i="14"/>
  <c r="L195" i="14"/>
  <c r="X195" i="14"/>
  <c r="F195" i="14"/>
  <c r="K195" i="14"/>
  <c r="W195" i="14"/>
  <c r="U195" i="14"/>
  <c r="A162" i="14"/>
  <c r="E161" i="14"/>
  <c r="L161" i="14"/>
  <c r="Z161" i="14"/>
  <c r="X161" i="14"/>
  <c r="W161" i="14"/>
  <c r="U161" i="14"/>
  <c r="J161" i="14"/>
  <c r="T161" i="14"/>
  <c r="V161" i="14"/>
  <c r="H161" i="14"/>
  <c r="K161" i="14"/>
  <c r="I161" i="14"/>
  <c r="Y161" i="14"/>
  <c r="F161" i="14"/>
  <c r="A95" i="14"/>
  <c r="V94" i="14"/>
  <c r="W94" i="14"/>
  <c r="J94" i="14"/>
  <c r="X94" i="14"/>
  <c r="F94" i="14"/>
  <c r="L94" i="14"/>
  <c r="T94" i="14"/>
  <c r="H94" i="14"/>
  <c r="I94" i="14"/>
  <c r="Z94" i="14"/>
  <c r="U94" i="14"/>
  <c r="Y94" i="14"/>
  <c r="K94" i="14"/>
  <c r="E94" i="14"/>
  <c r="A297" i="14"/>
  <c r="E296" i="14"/>
  <c r="Y296" i="14"/>
  <c r="H296" i="14"/>
  <c r="W296" i="14"/>
  <c r="F296" i="14"/>
  <c r="T296" i="14"/>
  <c r="U296" i="14"/>
  <c r="X296" i="14"/>
  <c r="Z296" i="14"/>
  <c r="K296" i="14"/>
  <c r="I296" i="14"/>
  <c r="L296" i="14"/>
  <c r="J296" i="14"/>
  <c r="V296" i="14"/>
  <c r="AA62" i="14"/>
  <c r="E329" i="14"/>
  <c r="W329" i="14"/>
  <c r="F329" i="14"/>
  <c r="A330" i="14"/>
  <c r="L329" i="14"/>
  <c r="H329" i="14"/>
  <c r="T329" i="14"/>
  <c r="V329" i="14"/>
  <c r="I329" i="14"/>
  <c r="X329" i="14"/>
  <c r="U329" i="14"/>
  <c r="J329" i="14"/>
  <c r="Y329" i="14"/>
  <c r="K329" i="14"/>
  <c r="Z329" i="14"/>
  <c r="AA227" i="14"/>
  <c r="AA362" i="14"/>
  <c r="E363" i="14"/>
  <c r="A364" i="14"/>
  <c r="W363" i="14"/>
  <c r="J363" i="14"/>
  <c r="L363" i="14"/>
  <c r="U363" i="14"/>
  <c r="F363" i="14"/>
  <c r="V363" i="14"/>
  <c r="X363" i="14"/>
  <c r="Z363" i="14"/>
  <c r="H363" i="14"/>
  <c r="I363" i="14"/>
  <c r="K363" i="14"/>
  <c r="T363" i="14"/>
  <c r="Y363" i="14"/>
  <c r="AA396" i="14"/>
  <c r="E262" i="14"/>
  <c r="A263" i="14"/>
  <c r="F262" i="14"/>
  <c r="T262" i="14"/>
  <c r="U262" i="14"/>
  <c r="X262" i="14"/>
  <c r="Z262" i="14"/>
  <c r="J262" i="14"/>
  <c r="V262" i="14"/>
  <c r="L262" i="14"/>
  <c r="Y262" i="14"/>
  <c r="W262" i="14"/>
  <c r="I262" i="14"/>
  <c r="K262" i="14"/>
  <c r="H262" i="14"/>
  <c r="A229" i="14"/>
  <c r="E228" i="14"/>
  <c r="Z228" i="14"/>
  <c r="V228" i="14"/>
  <c r="Y228" i="14"/>
  <c r="U228" i="14"/>
  <c r="T228" i="14"/>
  <c r="W228" i="14"/>
  <c r="K228" i="14"/>
  <c r="F228" i="14"/>
  <c r="H228" i="14"/>
  <c r="J228" i="14"/>
  <c r="L228" i="14"/>
  <c r="X228" i="14"/>
  <c r="I228" i="14"/>
  <c r="E63" i="14"/>
  <c r="A64" i="14"/>
  <c r="U63" i="14"/>
  <c r="W63" i="14"/>
  <c r="V63" i="14"/>
  <c r="Z63" i="14"/>
  <c r="H63" i="14"/>
  <c r="X63" i="14"/>
  <c r="J63" i="14"/>
  <c r="Y63" i="14"/>
  <c r="I63" i="14"/>
  <c r="K63" i="14"/>
  <c r="L63" i="14"/>
  <c r="T63" i="14"/>
  <c r="F63" i="14"/>
  <c r="AA160" i="14"/>
  <c r="AA93" i="14"/>
  <c r="W431" i="14" l="1"/>
  <c r="T431" i="14"/>
  <c r="Z431" i="14"/>
  <c r="N431" i="14"/>
  <c r="K431" i="14"/>
  <c r="F431" i="14"/>
  <c r="S431" i="14"/>
  <c r="V431" i="14"/>
  <c r="Y431" i="14"/>
  <c r="G431" i="14"/>
  <c r="U431" i="14"/>
  <c r="R431" i="14"/>
  <c r="J431" i="14"/>
  <c r="E431" i="14"/>
  <c r="I431" i="14"/>
  <c r="X431" i="14"/>
  <c r="H431" i="14"/>
  <c r="O431" i="14"/>
  <c r="A432" i="14"/>
  <c r="Q431" i="14"/>
  <c r="M431" i="14"/>
  <c r="L431" i="14"/>
  <c r="Q196" i="14"/>
  <c r="S196" i="14"/>
  <c r="R196" i="14"/>
  <c r="Q32" i="14"/>
  <c r="S32" i="14"/>
  <c r="R32" i="14"/>
  <c r="Q330" i="14"/>
  <c r="S330" i="14"/>
  <c r="R330" i="14"/>
  <c r="Q263" i="14"/>
  <c r="R263" i="14"/>
  <c r="S263" i="14"/>
  <c r="R364" i="14"/>
  <c r="Q364" i="14"/>
  <c r="S364" i="14"/>
  <c r="Q162" i="14"/>
  <c r="S162" i="14"/>
  <c r="R162" i="14"/>
  <c r="Q398" i="14"/>
  <c r="R398" i="14"/>
  <c r="S398" i="14"/>
  <c r="Q95" i="14"/>
  <c r="R95" i="14"/>
  <c r="S95" i="14"/>
  <c r="Q64" i="14"/>
  <c r="S64" i="14"/>
  <c r="R64" i="14"/>
  <c r="Q229" i="14"/>
  <c r="S229" i="14"/>
  <c r="R229" i="14"/>
  <c r="Q297" i="14"/>
  <c r="S297" i="14"/>
  <c r="R297" i="14"/>
  <c r="Q129" i="14"/>
  <c r="R129" i="14"/>
  <c r="S129" i="14"/>
  <c r="O196" i="14"/>
  <c r="N196" i="14"/>
  <c r="O32" i="14"/>
  <c r="N32" i="14"/>
  <c r="N330" i="14"/>
  <c r="O330" i="14"/>
  <c r="N263" i="14"/>
  <c r="O263" i="14"/>
  <c r="N364" i="14"/>
  <c r="O364" i="14"/>
  <c r="N162" i="14"/>
  <c r="O162" i="14"/>
  <c r="O398" i="14"/>
  <c r="N398" i="14"/>
  <c r="N95" i="14"/>
  <c r="O95" i="14"/>
  <c r="O64" i="14"/>
  <c r="N64" i="14"/>
  <c r="O229" i="14"/>
  <c r="N229" i="14"/>
  <c r="N297" i="14"/>
  <c r="O297" i="14"/>
  <c r="O129" i="14"/>
  <c r="N129" i="14"/>
  <c r="M64" i="14"/>
  <c r="G64" i="14"/>
  <c r="M263" i="14"/>
  <c r="G263" i="14"/>
  <c r="M129" i="14"/>
  <c r="G129" i="14"/>
  <c r="M398" i="14"/>
  <c r="G398" i="14"/>
  <c r="M330" i="14"/>
  <c r="G330" i="14"/>
  <c r="M297" i="14"/>
  <c r="G297" i="14"/>
  <c r="M95" i="14"/>
  <c r="G95" i="14"/>
  <c r="M162" i="14"/>
  <c r="G162" i="14"/>
  <c r="M196" i="14"/>
  <c r="G196" i="14"/>
  <c r="M229" i="14"/>
  <c r="G229" i="14"/>
  <c r="M364" i="14"/>
  <c r="G364" i="14"/>
  <c r="G32" i="14"/>
  <c r="A33" i="14"/>
  <c r="M32" i="14"/>
  <c r="U32" i="14"/>
  <c r="V32" i="14"/>
  <c r="Y32" i="14"/>
  <c r="K32" i="14"/>
  <c r="E32" i="14"/>
  <c r="F32" i="14"/>
  <c r="X32" i="14"/>
  <c r="I32" i="14"/>
  <c r="Z32" i="14"/>
  <c r="J32" i="14"/>
  <c r="T32" i="14"/>
  <c r="H32" i="14"/>
  <c r="W32" i="14"/>
  <c r="L32" i="14"/>
  <c r="I330" i="14"/>
  <c r="Y330" i="14"/>
  <c r="F330" i="14"/>
  <c r="W330" i="14"/>
  <c r="E330" i="14"/>
  <c r="J330" i="14"/>
  <c r="A331" i="14"/>
  <c r="L330" i="14"/>
  <c r="Z330" i="14"/>
  <c r="X330" i="14"/>
  <c r="T330" i="14"/>
  <c r="H330" i="14"/>
  <c r="V330" i="14"/>
  <c r="U330" i="14"/>
  <c r="K330" i="14"/>
  <c r="AA31" i="14"/>
  <c r="B31" i="14" s="1"/>
  <c r="AA262" i="14"/>
  <c r="AA128" i="14"/>
  <c r="AA329" i="14"/>
  <c r="Z129" i="14"/>
  <c r="I129" i="14"/>
  <c r="J129" i="14"/>
  <c r="Y129" i="14"/>
  <c r="U129" i="14"/>
  <c r="W129" i="14"/>
  <c r="E129" i="14"/>
  <c r="K129" i="14"/>
  <c r="X129" i="14"/>
  <c r="L129" i="14"/>
  <c r="T129" i="14"/>
  <c r="F129" i="14"/>
  <c r="A130" i="14"/>
  <c r="H129" i="14"/>
  <c r="V129" i="14"/>
  <c r="H263" i="14"/>
  <c r="K263" i="14"/>
  <c r="E263" i="14"/>
  <c r="U263" i="14"/>
  <c r="Z263" i="14"/>
  <c r="W263" i="14"/>
  <c r="V263" i="14"/>
  <c r="J263" i="14"/>
  <c r="Y263" i="14"/>
  <c r="X263" i="14"/>
  <c r="I263" i="14"/>
  <c r="F263" i="14"/>
  <c r="L263" i="14"/>
  <c r="T263" i="14"/>
  <c r="A264" i="14"/>
  <c r="Y196" i="14"/>
  <c r="T196" i="14"/>
  <c r="I196" i="14"/>
  <c r="W196" i="14"/>
  <c r="E196" i="14"/>
  <c r="X196" i="14"/>
  <c r="A197" i="14"/>
  <c r="J196" i="14"/>
  <c r="H196" i="14"/>
  <c r="V196" i="14"/>
  <c r="U196" i="14"/>
  <c r="K196" i="14"/>
  <c r="Z196" i="14"/>
  <c r="L196" i="14"/>
  <c r="F196" i="14"/>
  <c r="U364" i="14"/>
  <c r="A365" i="14"/>
  <c r="Y364" i="14"/>
  <c r="J364" i="14"/>
  <c r="F364" i="14"/>
  <c r="Z364" i="14"/>
  <c r="I364" i="14"/>
  <c r="E364" i="14"/>
  <c r="K364" i="14"/>
  <c r="H364" i="14"/>
  <c r="X364" i="14"/>
  <c r="T364" i="14"/>
  <c r="L364" i="14"/>
  <c r="V364" i="14"/>
  <c r="W364" i="14"/>
  <c r="J297" i="14"/>
  <c r="K297" i="14"/>
  <c r="Z297" i="14"/>
  <c r="H297" i="14"/>
  <c r="F297" i="14"/>
  <c r="T297" i="14"/>
  <c r="U297" i="14"/>
  <c r="W297" i="14"/>
  <c r="A298" i="14"/>
  <c r="I297" i="14"/>
  <c r="V297" i="14"/>
  <c r="Y297" i="14"/>
  <c r="X297" i="14"/>
  <c r="L297" i="14"/>
  <c r="E297" i="14"/>
  <c r="A399" i="14"/>
  <c r="V398" i="14"/>
  <c r="T398" i="14"/>
  <c r="L398" i="14"/>
  <c r="Y398" i="14"/>
  <c r="F398" i="14"/>
  <c r="Z398" i="14"/>
  <c r="K398" i="14"/>
  <c r="I398" i="14"/>
  <c r="H398" i="14"/>
  <c r="E398" i="14"/>
  <c r="J398" i="14"/>
  <c r="W398" i="14"/>
  <c r="X398" i="14"/>
  <c r="U398" i="14"/>
  <c r="AA195" i="14"/>
  <c r="AA94" i="14"/>
  <c r="AA397" i="14"/>
  <c r="X95" i="14"/>
  <c r="Z95" i="14"/>
  <c r="H95" i="14"/>
  <c r="J95" i="14"/>
  <c r="K95" i="14"/>
  <c r="U95" i="14"/>
  <c r="T95" i="14"/>
  <c r="W95" i="14"/>
  <c r="E95" i="14"/>
  <c r="A96" i="14"/>
  <c r="L95" i="14"/>
  <c r="Y95" i="14"/>
  <c r="I95" i="14"/>
  <c r="V95" i="14"/>
  <c r="F95" i="14"/>
  <c r="AA363" i="14"/>
  <c r="AA296" i="14"/>
  <c r="U64" i="14"/>
  <c r="X64" i="14"/>
  <c r="Y64" i="14"/>
  <c r="Z64" i="14"/>
  <c r="V64" i="14"/>
  <c r="K64" i="14"/>
  <c r="W64" i="14"/>
  <c r="H64" i="14"/>
  <c r="I64" i="14"/>
  <c r="J64" i="14"/>
  <c r="L64" i="14"/>
  <c r="E64" i="14"/>
  <c r="T64" i="14"/>
  <c r="F64" i="14"/>
  <c r="AA228" i="14"/>
  <c r="AA161" i="14"/>
  <c r="AA63" i="14"/>
  <c r="Y229" i="14"/>
  <c r="Z229" i="14"/>
  <c r="L229" i="14"/>
  <c r="A230" i="14"/>
  <c r="V229" i="14"/>
  <c r="T229" i="14"/>
  <c r="J229" i="14"/>
  <c r="X229" i="14"/>
  <c r="F229" i="14"/>
  <c r="K229" i="14"/>
  <c r="H229" i="14"/>
  <c r="U229" i="14"/>
  <c r="E229" i="14"/>
  <c r="I229" i="14"/>
  <c r="W229" i="14"/>
  <c r="W162" i="14"/>
  <c r="L162" i="14"/>
  <c r="A163" i="14"/>
  <c r="H162" i="14"/>
  <c r="Z162" i="14"/>
  <c r="I162" i="14"/>
  <c r="U162" i="14"/>
  <c r="T162" i="14"/>
  <c r="V162" i="14"/>
  <c r="F162" i="14"/>
  <c r="Y162" i="14"/>
  <c r="E162" i="14"/>
  <c r="K162" i="14"/>
  <c r="J162" i="14"/>
  <c r="X162" i="14"/>
  <c r="AC35" i="14" l="1"/>
  <c r="V432" i="14"/>
  <c r="T432" i="14"/>
  <c r="X432" i="14"/>
  <c r="F432" i="14"/>
  <c r="E432" i="14"/>
  <c r="S432" i="14"/>
  <c r="W432" i="14"/>
  <c r="R432" i="14"/>
  <c r="U432" i="14"/>
  <c r="H432" i="14"/>
  <c r="J432" i="14"/>
  <c r="Z432" i="14"/>
  <c r="I432" i="14"/>
  <c r="Q432" i="14"/>
  <c r="L432" i="14"/>
  <c r="M432" i="14"/>
  <c r="K432" i="14"/>
  <c r="O432" i="14"/>
  <c r="A433" i="14"/>
  <c r="N432" i="14"/>
  <c r="Y432" i="14"/>
  <c r="G432" i="14"/>
  <c r="AA431" i="14"/>
  <c r="Q331" i="14"/>
  <c r="R331" i="14"/>
  <c r="S331" i="14"/>
  <c r="Q96" i="14"/>
  <c r="S96" i="14"/>
  <c r="R96" i="14"/>
  <c r="Q298" i="14"/>
  <c r="R298" i="14"/>
  <c r="S298" i="14"/>
  <c r="Q197" i="14"/>
  <c r="R197" i="14"/>
  <c r="S197" i="14"/>
  <c r="Q365" i="14"/>
  <c r="S365" i="14"/>
  <c r="R365" i="14"/>
  <c r="Q230" i="14"/>
  <c r="S230" i="14"/>
  <c r="R230" i="14"/>
  <c r="Q163" i="14"/>
  <c r="S163" i="14"/>
  <c r="R163" i="14"/>
  <c r="Q264" i="14"/>
  <c r="S264" i="14"/>
  <c r="R264" i="14"/>
  <c r="Q33" i="14"/>
  <c r="R33" i="14"/>
  <c r="S33" i="14"/>
  <c r="Q130" i="14"/>
  <c r="S130" i="14"/>
  <c r="R130" i="14"/>
  <c r="Q399" i="14"/>
  <c r="R399" i="14"/>
  <c r="S399" i="14"/>
  <c r="N399" i="14"/>
  <c r="O399" i="14"/>
  <c r="O96" i="14"/>
  <c r="N96" i="14"/>
  <c r="N298" i="14"/>
  <c r="O298" i="14"/>
  <c r="N197" i="14"/>
  <c r="O197" i="14"/>
  <c r="O130" i="14"/>
  <c r="N130" i="14"/>
  <c r="N331" i="14"/>
  <c r="O331" i="14"/>
  <c r="N33" i="14"/>
  <c r="O33" i="14"/>
  <c r="N163" i="14"/>
  <c r="O163" i="14"/>
  <c r="O230" i="14"/>
  <c r="N230" i="14"/>
  <c r="N365" i="14"/>
  <c r="O365" i="14"/>
  <c r="N264" i="14"/>
  <c r="O264" i="14"/>
  <c r="M130" i="14"/>
  <c r="G130" i="14"/>
  <c r="M197" i="14"/>
  <c r="G197" i="14"/>
  <c r="E33" i="14"/>
  <c r="Z33" i="14"/>
  <c r="F33" i="14"/>
  <c r="H33" i="14"/>
  <c r="G33" i="14"/>
  <c r="I33" i="14"/>
  <c r="Y33" i="14"/>
  <c r="J33" i="14"/>
  <c r="K33" i="14"/>
  <c r="V33" i="14"/>
  <c r="L33" i="14"/>
  <c r="M33" i="14"/>
  <c r="W33" i="14"/>
  <c r="T33" i="14"/>
  <c r="U33" i="14"/>
  <c r="X33" i="14"/>
  <c r="M298" i="14"/>
  <c r="G298" i="14"/>
  <c r="M399" i="14"/>
  <c r="G399" i="14"/>
  <c r="AC1" i="14"/>
  <c r="AC2" i="14" s="1"/>
  <c r="M163" i="14"/>
  <c r="G163" i="14"/>
  <c r="M96" i="14"/>
  <c r="G96" i="14"/>
  <c r="M230" i="14"/>
  <c r="G230" i="14"/>
  <c r="M331" i="14"/>
  <c r="G331" i="14"/>
  <c r="M365" i="14"/>
  <c r="G365" i="14"/>
  <c r="M264" i="14"/>
  <c r="G264" i="14"/>
  <c r="AA162" i="14"/>
  <c r="AA263" i="14"/>
  <c r="AA229" i="14"/>
  <c r="T331" i="14"/>
  <c r="Y331" i="14"/>
  <c r="Z331" i="14"/>
  <c r="F331" i="14"/>
  <c r="K331" i="14"/>
  <c r="L331" i="14"/>
  <c r="V331" i="14"/>
  <c r="E331" i="14"/>
  <c r="H331" i="14"/>
  <c r="W331" i="14"/>
  <c r="J331" i="14"/>
  <c r="A332" i="14"/>
  <c r="U331" i="14"/>
  <c r="I331" i="14"/>
  <c r="X331" i="14"/>
  <c r="AA64" i="14"/>
  <c r="AD35" i="14"/>
  <c r="AC36" i="14" s="1"/>
  <c r="L298" i="14"/>
  <c r="K298" i="14"/>
  <c r="A299" i="14"/>
  <c r="W298" i="14"/>
  <c r="Y298" i="14"/>
  <c r="F298" i="14"/>
  <c r="H298" i="14"/>
  <c r="E298" i="14"/>
  <c r="U298" i="14"/>
  <c r="T298" i="14"/>
  <c r="J298" i="14"/>
  <c r="V298" i="14"/>
  <c r="X298" i="14"/>
  <c r="Z298" i="14"/>
  <c r="I298" i="14"/>
  <c r="AA398" i="14"/>
  <c r="AA364" i="14"/>
  <c r="AA330" i="14"/>
  <c r="J130" i="14"/>
  <c r="I130" i="14"/>
  <c r="E130" i="14"/>
  <c r="F130" i="14"/>
  <c r="H130" i="14"/>
  <c r="U130" i="14"/>
  <c r="L130" i="14"/>
  <c r="Z130" i="14"/>
  <c r="K130" i="14"/>
  <c r="Y130" i="14"/>
  <c r="W130" i="14"/>
  <c r="X130" i="14"/>
  <c r="V130" i="14"/>
  <c r="T130" i="14"/>
  <c r="A131" i="14"/>
  <c r="AA32" i="14"/>
  <c r="AD1" i="14"/>
  <c r="J163" i="14"/>
  <c r="T163" i="14"/>
  <c r="L163" i="14"/>
  <c r="W163" i="14"/>
  <c r="K163" i="14"/>
  <c r="H163" i="14"/>
  <c r="U163" i="14"/>
  <c r="Y163" i="14"/>
  <c r="A164" i="14"/>
  <c r="Z163" i="14"/>
  <c r="E163" i="14"/>
  <c r="V163" i="14"/>
  <c r="F163" i="14"/>
  <c r="X163" i="14"/>
  <c r="I163" i="14"/>
  <c r="W197" i="14"/>
  <c r="K197" i="14"/>
  <c r="T197" i="14"/>
  <c r="I197" i="14"/>
  <c r="A198" i="14"/>
  <c r="Y197" i="14"/>
  <c r="J197" i="14"/>
  <c r="U197" i="14"/>
  <c r="V197" i="14"/>
  <c r="F197" i="14"/>
  <c r="Z197" i="14"/>
  <c r="E197" i="14"/>
  <c r="X197" i="14"/>
  <c r="H197" i="14"/>
  <c r="L197" i="14"/>
  <c r="E264" i="14"/>
  <c r="A265" i="14"/>
  <c r="I264" i="14"/>
  <c r="Y264" i="14"/>
  <c r="Z264" i="14"/>
  <c r="W264" i="14"/>
  <c r="J264" i="14"/>
  <c r="L264" i="14"/>
  <c r="V264" i="14"/>
  <c r="F264" i="14"/>
  <c r="H264" i="14"/>
  <c r="K264" i="14"/>
  <c r="T264" i="14"/>
  <c r="U264" i="14"/>
  <c r="X264" i="14"/>
  <c r="A97" i="14"/>
  <c r="I96" i="14"/>
  <c r="T96" i="14"/>
  <c r="J96" i="14"/>
  <c r="Z96" i="14"/>
  <c r="Y96" i="14"/>
  <c r="E96" i="14"/>
  <c r="H96" i="14"/>
  <c r="W96" i="14"/>
  <c r="V96" i="14"/>
  <c r="U96" i="14"/>
  <c r="X96" i="14"/>
  <c r="L96" i="14"/>
  <c r="F96" i="14"/>
  <c r="K96" i="14"/>
  <c r="Y399" i="14"/>
  <c r="J399" i="14"/>
  <c r="W399" i="14"/>
  <c r="K399" i="14"/>
  <c r="H399" i="14"/>
  <c r="I399" i="14"/>
  <c r="X399" i="14"/>
  <c r="U399" i="14"/>
  <c r="E399" i="14"/>
  <c r="V399" i="14"/>
  <c r="L399" i="14"/>
  <c r="T399" i="14"/>
  <c r="Z399" i="14"/>
  <c r="A400" i="14"/>
  <c r="F399" i="14"/>
  <c r="AA196" i="14"/>
  <c r="L230" i="14"/>
  <c r="X230" i="14"/>
  <c r="U230" i="14"/>
  <c r="F230" i="14"/>
  <c r="E230" i="14"/>
  <c r="I230" i="14"/>
  <c r="T230" i="14"/>
  <c r="Y230" i="14"/>
  <c r="K230" i="14"/>
  <c r="J230" i="14"/>
  <c r="H230" i="14"/>
  <c r="W230" i="14"/>
  <c r="A231" i="14"/>
  <c r="V230" i="14"/>
  <c r="Z230" i="14"/>
  <c r="AA95" i="14"/>
  <c r="AA297" i="14"/>
  <c r="W365" i="14"/>
  <c r="A366" i="14"/>
  <c r="V365" i="14"/>
  <c r="I365" i="14"/>
  <c r="L365" i="14"/>
  <c r="J365" i="14"/>
  <c r="Y365" i="14"/>
  <c r="T365" i="14"/>
  <c r="U365" i="14"/>
  <c r="X365" i="14"/>
  <c r="F365" i="14"/>
  <c r="K365" i="14"/>
  <c r="H365" i="14"/>
  <c r="E365" i="14"/>
  <c r="Z365" i="14"/>
  <c r="AA129" i="14"/>
  <c r="AA432" i="14" l="1"/>
  <c r="U433" i="14"/>
  <c r="F433" i="14"/>
  <c r="X433" i="14"/>
  <c r="Q433" i="14"/>
  <c r="T433" i="14"/>
  <c r="E433" i="14"/>
  <c r="W433" i="14"/>
  <c r="J433" i="14"/>
  <c r="V433" i="14"/>
  <c r="A434" i="14"/>
  <c r="S433" i="14"/>
  <c r="Y433" i="14"/>
  <c r="M433" i="14"/>
  <c r="L433" i="14"/>
  <c r="K433" i="14"/>
  <c r="O433" i="14"/>
  <c r="Z433" i="14"/>
  <c r="H433" i="14"/>
  <c r="N433" i="14"/>
  <c r="G433" i="14"/>
  <c r="I433" i="14"/>
  <c r="R433" i="14"/>
  <c r="Q332" i="14"/>
  <c r="S332" i="14"/>
  <c r="R332" i="14"/>
  <c r="Q231" i="14"/>
  <c r="R231" i="14"/>
  <c r="S231" i="14"/>
  <c r="Q198" i="14"/>
  <c r="S198" i="14"/>
  <c r="R198" i="14"/>
  <c r="Q265" i="14"/>
  <c r="R265" i="14"/>
  <c r="S265" i="14"/>
  <c r="Q299" i="14"/>
  <c r="S299" i="14"/>
  <c r="R299" i="14"/>
  <c r="Q400" i="14"/>
  <c r="S400" i="14"/>
  <c r="R400" i="14"/>
  <c r="Q366" i="14"/>
  <c r="R366" i="14"/>
  <c r="S366" i="14"/>
  <c r="Q164" i="14"/>
  <c r="R164" i="14"/>
  <c r="S164" i="14"/>
  <c r="Q97" i="14"/>
  <c r="R97" i="14"/>
  <c r="S97" i="14"/>
  <c r="Q131" i="14"/>
  <c r="S131" i="14"/>
  <c r="R131" i="14"/>
  <c r="O231" i="14"/>
  <c r="N231" i="14"/>
  <c r="N164" i="14"/>
  <c r="O164" i="14"/>
  <c r="N332" i="14"/>
  <c r="O332" i="14"/>
  <c r="N400" i="14"/>
  <c r="O400" i="14"/>
  <c r="O198" i="14"/>
  <c r="N198" i="14"/>
  <c r="O265" i="14"/>
  <c r="N265" i="14"/>
  <c r="N299" i="14"/>
  <c r="O299" i="14"/>
  <c r="N366" i="14"/>
  <c r="O366" i="14"/>
  <c r="N97" i="14"/>
  <c r="O97" i="14"/>
  <c r="O131" i="14"/>
  <c r="N131" i="14"/>
  <c r="M231" i="14"/>
  <c r="G231" i="14"/>
  <c r="M97" i="14"/>
  <c r="G97" i="14"/>
  <c r="M332" i="14"/>
  <c r="G332" i="14"/>
  <c r="M198" i="14"/>
  <c r="G198" i="14"/>
  <c r="M400" i="14"/>
  <c r="G400" i="14"/>
  <c r="M164" i="14"/>
  <c r="G164" i="14"/>
  <c r="AA33" i="14"/>
  <c r="M366" i="14"/>
  <c r="G366" i="14"/>
  <c r="M265" i="14"/>
  <c r="G265" i="14"/>
  <c r="M131" i="14"/>
  <c r="G131" i="14"/>
  <c r="M299" i="14"/>
  <c r="G299" i="14"/>
  <c r="AA197" i="14"/>
  <c r="AA365" i="14"/>
  <c r="B365" i="14" s="1"/>
  <c r="AA331" i="14"/>
  <c r="K198" i="14"/>
  <c r="L198" i="14"/>
  <c r="U198" i="14"/>
  <c r="X198" i="14"/>
  <c r="I198" i="14"/>
  <c r="F198" i="14"/>
  <c r="W198" i="14"/>
  <c r="Y198" i="14"/>
  <c r="E198" i="14"/>
  <c r="Z198" i="14"/>
  <c r="H198" i="14"/>
  <c r="V198" i="14"/>
  <c r="A199" i="14"/>
  <c r="T198" i="14"/>
  <c r="J198" i="14"/>
  <c r="AA264" i="14"/>
  <c r="F231" i="14"/>
  <c r="J231" i="14"/>
  <c r="Z231" i="14"/>
  <c r="E231" i="14"/>
  <c r="I231" i="14"/>
  <c r="K231" i="14"/>
  <c r="W231" i="14"/>
  <c r="X231" i="14"/>
  <c r="H231" i="14"/>
  <c r="L231" i="14"/>
  <c r="A232" i="14"/>
  <c r="Y231" i="14"/>
  <c r="U231" i="14"/>
  <c r="V231" i="14"/>
  <c r="T231" i="14"/>
  <c r="J299" i="14"/>
  <c r="U299" i="14"/>
  <c r="V299" i="14"/>
  <c r="H299" i="14"/>
  <c r="L299" i="14"/>
  <c r="K299" i="14"/>
  <c r="E299" i="14"/>
  <c r="Z299" i="14"/>
  <c r="F299" i="14"/>
  <c r="W299" i="14"/>
  <c r="X299" i="14"/>
  <c r="I299" i="14"/>
  <c r="A300" i="14"/>
  <c r="Y299" i="14"/>
  <c r="T299" i="14"/>
  <c r="X97" i="14"/>
  <c r="H97" i="14"/>
  <c r="T97" i="14"/>
  <c r="U97" i="14"/>
  <c r="I97" i="14"/>
  <c r="F97" i="14"/>
  <c r="Y97" i="14"/>
  <c r="E97" i="14"/>
  <c r="J97" i="14"/>
  <c r="W97" i="14"/>
  <c r="K97" i="14"/>
  <c r="Z97" i="14"/>
  <c r="V97" i="14"/>
  <c r="L97" i="14"/>
  <c r="A98" i="14"/>
  <c r="X265" i="14"/>
  <c r="J265" i="14"/>
  <c r="T265" i="14"/>
  <c r="F265" i="14"/>
  <c r="Z265" i="14"/>
  <c r="K265" i="14"/>
  <c r="L265" i="14"/>
  <c r="A266" i="14"/>
  <c r="V265" i="14"/>
  <c r="Y265" i="14"/>
  <c r="H265" i="14"/>
  <c r="I265" i="14"/>
  <c r="E265" i="14"/>
  <c r="W265" i="14"/>
  <c r="U265" i="14"/>
  <c r="J131" i="14"/>
  <c r="Z131" i="14"/>
  <c r="Y131" i="14"/>
  <c r="T131" i="14"/>
  <c r="U131" i="14"/>
  <c r="K131" i="14"/>
  <c r="W131" i="14"/>
  <c r="X131" i="14"/>
  <c r="V131" i="14"/>
  <c r="A132" i="14"/>
  <c r="H131" i="14"/>
  <c r="F131" i="14"/>
  <c r="I131" i="14"/>
  <c r="E131" i="14"/>
  <c r="L131" i="14"/>
  <c r="T164" i="14"/>
  <c r="J164" i="14"/>
  <c r="I164" i="14"/>
  <c r="K164" i="14"/>
  <c r="L164" i="14"/>
  <c r="Y164" i="14"/>
  <c r="E164" i="14"/>
  <c r="V164" i="14"/>
  <c r="F164" i="14"/>
  <c r="Z164" i="14"/>
  <c r="A165" i="14"/>
  <c r="U164" i="14"/>
  <c r="W164" i="14"/>
  <c r="X164" i="14"/>
  <c r="H164" i="14"/>
  <c r="AA230" i="14"/>
  <c r="AA163" i="14"/>
  <c r="A401" i="14"/>
  <c r="U400" i="14"/>
  <c r="H400" i="14"/>
  <c r="E400" i="14"/>
  <c r="L400" i="14"/>
  <c r="W400" i="14"/>
  <c r="X400" i="14"/>
  <c r="T400" i="14"/>
  <c r="V400" i="14"/>
  <c r="Y400" i="14"/>
  <c r="K400" i="14"/>
  <c r="I400" i="14"/>
  <c r="Z400" i="14"/>
  <c r="F400" i="14"/>
  <c r="J400" i="14"/>
  <c r="A367" i="14"/>
  <c r="V366" i="14"/>
  <c r="T366" i="14"/>
  <c r="L366" i="14"/>
  <c r="E366" i="14"/>
  <c r="Z366" i="14"/>
  <c r="W366" i="14"/>
  <c r="F366" i="14"/>
  <c r="I366" i="14"/>
  <c r="H366" i="14"/>
  <c r="J366" i="14"/>
  <c r="X366" i="14"/>
  <c r="Y366" i="14"/>
  <c r="U366" i="14"/>
  <c r="K366" i="14"/>
  <c r="T332" i="14"/>
  <c r="U332" i="14"/>
  <c r="W332" i="14"/>
  <c r="V332" i="14"/>
  <c r="I332" i="14"/>
  <c r="L332" i="14"/>
  <c r="Y332" i="14"/>
  <c r="E332" i="14"/>
  <c r="H332" i="14"/>
  <c r="F332" i="14"/>
  <c r="A333" i="14"/>
  <c r="J332" i="14"/>
  <c r="X332" i="14"/>
  <c r="K332" i="14"/>
  <c r="Z332" i="14"/>
  <c r="AA399" i="14"/>
  <c r="AA96" i="14"/>
  <c r="AA130" i="14"/>
  <c r="AA298" i="14"/>
  <c r="A435" i="14" l="1"/>
  <c r="F434" i="14"/>
  <c r="X434" i="14"/>
  <c r="K434" i="14"/>
  <c r="O434" i="14"/>
  <c r="M434" i="14"/>
  <c r="H434" i="14"/>
  <c r="V434" i="14"/>
  <c r="L434" i="14"/>
  <c r="R434" i="14"/>
  <c r="T434" i="14"/>
  <c r="Q434" i="14"/>
  <c r="I434" i="14"/>
  <c r="E434" i="14"/>
  <c r="U434" i="14"/>
  <c r="W434" i="14"/>
  <c r="S434" i="14"/>
  <c r="Z434" i="14"/>
  <c r="N434" i="14"/>
  <c r="G434" i="14"/>
  <c r="Y434" i="14"/>
  <c r="J434" i="14"/>
  <c r="AA433" i="14"/>
  <c r="Q266" i="14"/>
  <c r="R266" i="14"/>
  <c r="S266" i="14"/>
  <c r="Q132" i="14"/>
  <c r="R132" i="14"/>
  <c r="S132" i="14"/>
  <c r="Q98" i="14"/>
  <c r="R98" i="14"/>
  <c r="S98" i="14"/>
  <c r="Q199" i="14"/>
  <c r="R199" i="14"/>
  <c r="S199" i="14"/>
  <c r="Q367" i="14"/>
  <c r="S367" i="14"/>
  <c r="R367" i="14"/>
  <c r="Q300" i="14"/>
  <c r="S300" i="14"/>
  <c r="R300" i="14"/>
  <c r="Q165" i="14"/>
  <c r="R165" i="14"/>
  <c r="S165" i="14"/>
  <c r="Q232" i="14"/>
  <c r="R232" i="14"/>
  <c r="S232" i="14"/>
  <c r="Q333" i="14"/>
  <c r="S333" i="14"/>
  <c r="R333" i="14"/>
  <c r="Q401" i="14"/>
  <c r="R401" i="14"/>
  <c r="S401" i="14"/>
  <c r="N98" i="14"/>
  <c r="O98" i="14"/>
  <c r="N199" i="14"/>
  <c r="O199" i="14"/>
  <c r="N300" i="14"/>
  <c r="O300" i="14"/>
  <c r="N232" i="14"/>
  <c r="O232" i="14"/>
  <c r="O132" i="14"/>
  <c r="N132" i="14"/>
  <c r="N367" i="14"/>
  <c r="O367" i="14"/>
  <c r="N165" i="14"/>
  <c r="O165" i="14"/>
  <c r="N333" i="14"/>
  <c r="O333" i="14"/>
  <c r="O266" i="14"/>
  <c r="N266" i="14"/>
  <c r="N401" i="14"/>
  <c r="O401" i="14"/>
  <c r="M165" i="14"/>
  <c r="G165" i="14"/>
  <c r="M132" i="14"/>
  <c r="G132" i="14"/>
  <c r="M300" i="14"/>
  <c r="G300" i="14"/>
  <c r="M401" i="14"/>
  <c r="G401" i="14"/>
  <c r="M199" i="14"/>
  <c r="G199" i="14"/>
  <c r="M232" i="14"/>
  <c r="G232" i="14"/>
  <c r="M266" i="14"/>
  <c r="G266" i="14"/>
  <c r="M333" i="14"/>
  <c r="G333" i="14"/>
  <c r="M367" i="14"/>
  <c r="G367" i="14"/>
  <c r="M98" i="14"/>
  <c r="G98" i="14"/>
  <c r="AA198" i="14"/>
  <c r="AA131" i="14"/>
  <c r="AA231" i="14"/>
  <c r="Y98" i="14"/>
  <c r="X98" i="14"/>
  <c r="J98" i="14"/>
  <c r="T98" i="14"/>
  <c r="F98" i="14"/>
  <c r="U98" i="14"/>
  <c r="K98" i="14"/>
  <c r="A99" i="14"/>
  <c r="H98" i="14"/>
  <c r="L98" i="14"/>
  <c r="I98" i="14"/>
  <c r="E98" i="14"/>
  <c r="W98" i="14"/>
  <c r="V98" i="14"/>
  <c r="Z98" i="14"/>
  <c r="AA366" i="14"/>
  <c r="E165" i="14"/>
  <c r="J165" i="14"/>
  <c r="X165" i="14"/>
  <c r="Z165" i="14"/>
  <c r="W165" i="14"/>
  <c r="V165" i="14"/>
  <c r="L165" i="14"/>
  <c r="K165" i="14"/>
  <c r="H165" i="14"/>
  <c r="T165" i="14"/>
  <c r="I165" i="14"/>
  <c r="A166" i="14"/>
  <c r="F165" i="14"/>
  <c r="U165" i="14"/>
  <c r="Y165" i="14"/>
  <c r="I300" i="14"/>
  <c r="E300" i="14"/>
  <c r="F300" i="14"/>
  <c r="J300" i="14"/>
  <c r="H300" i="14"/>
  <c r="W300" i="14"/>
  <c r="Z300" i="14"/>
  <c r="T300" i="14"/>
  <c r="A301" i="14"/>
  <c r="V300" i="14"/>
  <c r="K300" i="14"/>
  <c r="U300" i="14"/>
  <c r="X300" i="14"/>
  <c r="L300" i="14"/>
  <c r="Y300" i="14"/>
  <c r="J401" i="14"/>
  <c r="H401" i="14"/>
  <c r="L401" i="14"/>
  <c r="U401" i="14"/>
  <c r="X401" i="14"/>
  <c r="T401" i="14"/>
  <c r="E401" i="14"/>
  <c r="V401" i="14"/>
  <c r="W401" i="14"/>
  <c r="Z401" i="14"/>
  <c r="A402" i="14"/>
  <c r="Y401" i="14"/>
  <c r="F401" i="14"/>
  <c r="I401" i="14"/>
  <c r="K401" i="14"/>
  <c r="V266" i="14"/>
  <c r="L266" i="14"/>
  <c r="K266" i="14"/>
  <c r="W266" i="14"/>
  <c r="E266" i="14"/>
  <c r="Y266" i="14"/>
  <c r="Z266" i="14"/>
  <c r="U266" i="14"/>
  <c r="F266" i="14"/>
  <c r="I266" i="14"/>
  <c r="X266" i="14"/>
  <c r="A267" i="14"/>
  <c r="T266" i="14"/>
  <c r="J266" i="14"/>
  <c r="H266" i="14"/>
  <c r="I367" i="14"/>
  <c r="A368" i="14"/>
  <c r="Z367" i="14"/>
  <c r="F367" i="14"/>
  <c r="U367" i="14"/>
  <c r="H367" i="14"/>
  <c r="V367" i="14"/>
  <c r="L367" i="14"/>
  <c r="E367" i="14"/>
  <c r="J367" i="14"/>
  <c r="K367" i="14"/>
  <c r="W367" i="14"/>
  <c r="Y367" i="14"/>
  <c r="X367" i="14"/>
  <c r="T367" i="14"/>
  <c r="T132" i="14"/>
  <c r="I132" i="14"/>
  <c r="K132" i="14"/>
  <c r="E132" i="14"/>
  <c r="Y132" i="14"/>
  <c r="H132" i="14"/>
  <c r="Z132" i="14"/>
  <c r="J132" i="14"/>
  <c r="L132" i="14"/>
  <c r="U132" i="14"/>
  <c r="A133" i="14"/>
  <c r="X132" i="14"/>
  <c r="F132" i="14"/>
  <c r="V132" i="14"/>
  <c r="W132" i="14"/>
  <c r="J333" i="14"/>
  <c r="K333" i="14"/>
  <c r="Z333" i="14"/>
  <c r="W333" i="14"/>
  <c r="F333" i="14"/>
  <c r="U333" i="14"/>
  <c r="I333" i="14"/>
  <c r="H333" i="14"/>
  <c r="L333" i="14"/>
  <c r="E333" i="14"/>
  <c r="Y333" i="14"/>
  <c r="V333" i="14"/>
  <c r="A334" i="14"/>
  <c r="T333" i="14"/>
  <c r="X333" i="14"/>
  <c r="AA97" i="14"/>
  <c r="A233" i="14"/>
  <c r="Y232" i="14"/>
  <c r="H232" i="14"/>
  <c r="I232" i="14"/>
  <c r="E232" i="14"/>
  <c r="J232" i="14"/>
  <c r="L232" i="14"/>
  <c r="T232" i="14"/>
  <c r="U232" i="14"/>
  <c r="W232" i="14"/>
  <c r="Z232" i="14"/>
  <c r="K232" i="14"/>
  <c r="V232" i="14"/>
  <c r="F232" i="14"/>
  <c r="X232" i="14"/>
  <c r="I199" i="14"/>
  <c r="T199" i="14"/>
  <c r="Y199" i="14"/>
  <c r="J199" i="14"/>
  <c r="U199" i="14"/>
  <c r="L199" i="14"/>
  <c r="V199" i="14"/>
  <c r="Z199" i="14"/>
  <c r="K199" i="14"/>
  <c r="H199" i="14"/>
  <c r="W199" i="14"/>
  <c r="F199" i="14"/>
  <c r="E199" i="14"/>
  <c r="A200" i="14"/>
  <c r="Y200" i="14" s="1"/>
  <c r="X199" i="14"/>
  <c r="AA265" i="14"/>
  <c r="AA164" i="14"/>
  <c r="AA299" i="14"/>
  <c r="AA400" i="14"/>
  <c r="AA332" i="14"/>
  <c r="AA434" i="14" l="1"/>
  <c r="E435" i="14"/>
  <c r="K435" i="14"/>
  <c r="Q435" i="14"/>
  <c r="A436" i="14"/>
  <c r="U435" i="14"/>
  <c r="O435" i="14"/>
  <c r="T435" i="14"/>
  <c r="Z435" i="14"/>
  <c r="H435" i="14"/>
  <c r="X435" i="14"/>
  <c r="G435" i="14"/>
  <c r="W435" i="14"/>
  <c r="S435" i="14"/>
  <c r="R435" i="14"/>
  <c r="V435" i="14"/>
  <c r="J435" i="14"/>
  <c r="I435" i="14"/>
  <c r="Y435" i="14"/>
  <c r="M435" i="14"/>
  <c r="F435" i="14"/>
  <c r="L435" i="14"/>
  <c r="N435" i="14"/>
  <c r="Q334" i="14"/>
  <c r="S334" i="14"/>
  <c r="R334" i="14"/>
  <c r="Q133" i="14"/>
  <c r="R133" i="14"/>
  <c r="S133" i="14"/>
  <c r="Q368" i="14"/>
  <c r="S368" i="14"/>
  <c r="R368" i="14"/>
  <c r="Q166" i="14"/>
  <c r="S166" i="14"/>
  <c r="R166" i="14"/>
  <c r="Q233" i="14"/>
  <c r="S233" i="14"/>
  <c r="R233" i="14"/>
  <c r="Q200" i="14"/>
  <c r="S200" i="14"/>
  <c r="R200" i="14"/>
  <c r="Q267" i="14"/>
  <c r="R267" i="14"/>
  <c r="S267" i="14"/>
  <c r="Q402" i="14"/>
  <c r="S402" i="14"/>
  <c r="R402" i="14"/>
  <c r="Q301" i="14"/>
  <c r="R301" i="14"/>
  <c r="S301" i="14"/>
  <c r="Q99" i="14"/>
  <c r="S99" i="14"/>
  <c r="R99" i="14"/>
  <c r="N368" i="14"/>
  <c r="O368" i="14"/>
  <c r="N166" i="14"/>
  <c r="O166" i="14"/>
  <c r="N233" i="14"/>
  <c r="O233" i="14"/>
  <c r="O267" i="14"/>
  <c r="N267" i="14"/>
  <c r="N402" i="14"/>
  <c r="O402" i="14"/>
  <c r="O301" i="14"/>
  <c r="N301" i="14"/>
  <c r="N99" i="14"/>
  <c r="O99" i="14"/>
  <c r="N200" i="14"/>
  <c r="O200" i="14"/>
  <c r="O133" i="14"/>
  <c r="N133" i="14"/>
  <c r="N334" i="14"/>
  <c r="O334" i="14"/>
  <c r="M402" i="14"/>
  <c r="G402" i="14"/>
  <c r="M166" i="14"/>
  <c r="G166" i="14"/>
  <c r="M301" i="14"/>
  <c r="G301" i="14"/>
  <c r="M133" i="14"/>
  <c r="G133" i="14"/>
  <c r="M267" i="14"/>
  <c r="G267" i="14"/>
  <c r="M233" i="14"/>
  <c r="G233" i="14"/>
  <c r="M200" i="14"/>
  <c r="G200" i="14"/>
  <c r="M334" i="14"/>
  <c r="G334" i="14"/>
  <c r="M99" i="14"/>
  <c r="G99" i="14"/>
  <c r="M368" i="14"/>
  <c r="G368" i="14"/>
  <c r="Y99" i="14"/>
  <c r="F99" i="14"/>
  <c r="E99" i="14"/>
  <c r="V99" i="14"/>
  <c r="K99" i="14"/>
  <c r="Z99" i="14"/>
  <c r="J99" i="14"/>
  <c r="T99" i="14"/>
  <c r="L99" i="14"/>
  <c r="I99" i="14"/>
  <c r="H99" i="14"/>
  <c r="W99" i="14"/>
  <c r="X99" i="14"/>
  <c r="U99" i="14"/>
  <c r="AA300" i="14"/>
  <c r="I133" i="14"/>
  <c r="U133" i="14"/>
  <c r="L133" i="14"/>
  <c r="T133" i="14"/>
  <c r="X133" i="14"/>
  <c r="F133" i="14"/>
  <c r="Z133" i="14"/>
  <c r="K133" i="14"/>
  <c r="J133" i="14"/>
  <c r="E133" i="14"/>
  <c r="W133" i="14"/>
  <c r="V133" i="14"/>
  <c r="H133" i="14"/>
  <c r="Y133" i="14"/>
  <c r="AA165" i="14"/>
  <c r="AA333" i="14"/>
  <c r="AA232" i="14"/>
  <c r="E200" i="14"/>
  <c r="F200" i="14"/>
  <c r="Z200" i="14"/>
  <c r="I200" i="14"/>
  <c r="J200" i="14"/>
  <c r="K200" i="14"/>
  <c r="X200" i="14"/>
  <c r="H200" i="14"/>
  <c r="L200" i="14"/>
  <c r="V200" i="14"/>
  <c r="U200" i="14"/>
  <c r="T200" i="14"/>
  <c r="A201" i="14"/>
  <c r="W200" i="14"/>
  <c r="A403" i="14"/>
  <c r="U402" i="14"/>
  <c r="J402" i="14"/>
  <c r="E402" i="14"/>
  <c r="L402" i="14"/>
  <c r="V402" i="14"/>
  <c r="W402" i="14"/>
  <c r="X402" i="14"/>
  <c r="K402" i="14"/>
  <c r="I402" i="14"/>
  <c r="H402" i="14"/>
  <c r="Y402" i="14"/>
  <c r="F402" i="14"/>
  <c r="T402" i="14"/>
  <c r="Z402" i="14"/>
  <c r="AA132" i="14"/>
  <c r="X166" i="14"/>
  <c r="K166" i="14"/>
  <c r="A167" i="14"/>
  <c r="H166" i="14"/>
  <c r="J166" i="14"/>
  <c r="V166" i="14"/>
  <c r="E166" i="14"/>
  <c r="Z166" i="14"/>
  <c r="I166" i="14"/>
  <c r="F166" i="14"/>
  <c r="Y166" i="14"/>
  <c r="W166" i="14"/>
  <c r="T166" i="14"/>
  <c r="L166" i="14"/>
  <c r="U166" i="14"/>
  <c r="Y233" i="14"/>
  <c r="L233" i="14"/>
  <c r="A234" i="14"/>
  <c r="V233" i="14"/>
  <c r="H233" i="14"/>
  <c r="T233" i="14"/>
  <c r="X233" i="14"/>
  <c r="E233" i="14"/>
  <c r="J233" i="14"/>
  <c r="U233" i="14"/>
  <c r="W233" i="14"/>
  <c r="Z233" i="14"/>
  <c r="K233" i="14"/>
  <c r="F233" i="14"/>
  <c r="I233" i="14"/>
  <c r="AA367" i="14"/>
  <c r="AA266" i="14"/>
  <c r="AA401" i="14"/>
  <c r="U301" i="14"/>
  <c r="I301" i="14"/>
  <c r="W301" i="14"/>
  <c r="J301" i="14"/>
  <c r="L301" i="14"/>
  <c r="Y301" i="14"/>
  <c r="K301" i="14"/>
  <c r="F301" i="14"/>
  <c r="X301" i="14"/>
  <c r="Z301" i="14"/>
  <c r="T301" i="14"/>
  <c r="V301" i="14"/>
  <c r="E301" i="14"/>
  <c r="A302" i="14"/>
  <c r="H301" i="14"/>
  <c r="J368" i="14"/>
  <c r="A369" i="14"/>
  <c r="F368" i="14"/>
  <c r="H368" i="14"/>
  <c r="E368" i="14"/>
  <c r="W368" i="14"/>
  <c r="Y368" i="14"/>
  <c r="I368" i="14"/>
  <c r="Z368" i="14"/>
  <c r="T368" i="14"/>
  <c r="X368" i="14"/>
  <c r="U368" i="14"/>
  <c r="K368" i="14"/>
  <c r="V368" i="14"/>
  <c r="L368" i="14"/>
  <c r="AA199" i="14"/>
  <c r="AA98" i="14"/>
  <c r="H267" i="14"/>
  <c r="J267" i="14"/>
  <c r="K267" i="14"/>
  <c r="Y267" i="14"/>
  <c r="T267" i="14"/>
  <c r="Z267" i="14"/>
  <c r="L267" i="14"/>
  <c r="U267" i="14"/>
  <c r="V267" i="14"/>
  <c r="X267" i="14"/>
  <c r="E267" i="14"/>
  <c r="F267" i="14"/>
  <c r="W267" i="14"/>
  <c r="I267" i="14"/>
  <c r="A268" i="14"/>
  <c r="I334" i="14"/>
  <c r="U334" i="14"/>
  <c r="J334" i="14"/>
  <c r="X334" i="14"/>
  <c r="T334" i="14"/>
  <c r="Y334" i="14"/>
  <c r="F334" i="14"/>
  <c r="Z334" i="14"/>
  <c r="H334" i="14"/>
  <c r="K334" i="14"/>
  <c r="L334" i="14"/>
  <c r="E334" i="14"/>
  <c r="A335" i="14"/>
  <c r="V334" i="14"/>
  <c r="W334" i="14"/>
  <c r="AC102" i="14" l="1"/>
  <c r="AA435" i="14"/>
  <c r="Z436" i="14"/>
  <c r="O436" i="14"/>
  <c r="V436" i="14"/>
  <c r="Y436" i="14"/>
  <c r="U436" i="14"/>
  <c r="A437" i="14"/>
  <c r="X436" i="14"/>
  <c r="L436" i="14"/>
  <c r="W436" i="14"/>
  <c r="G436" i="14"/>
  <c r="R436" i="14"/>
  <c r="N436" i="14"/>
  <c r="J436" i="14"/>
  <c r="I436" i="14"/>
  <c r="M436" i="14"/>
  <c r="T436" i="14"/>
  <c r="S436" i="14"/>
  <c r="F436" i="14"/>
  <c r="H436" i="14"/>
  <c r="E436" i="14"/>
  <c r="Q436" i="14"/>
  <c r="K436" i="14"/>
  <c r="Q369" i="14"/>
  <c r="S369" i="14"/>
  <c r="R369" i="14"/>
  <c r="Q234" i="14"/>
  <c r="S234" i="14"/>
  <c r="R234" i="14"/>
  <c r="Q403" i="14"/>
  <c r="S403" i="14"/>
  <c r="R403" i="14"/>
  <c r="Q268" i="14"/>
  <c r="S268" i="14"/>
  <c r="R268" i="14"/>
  <c r="Q302" i="14"/>
  <c r="S302" i="14"/>
  <c r="R302" i="14"/>
  <c r="Q201" i="14"/>
  <c r="S201" i="14"/>
  <c r="R201" i="14"/>
  <c r="Q335" i="14"/>
  <c r="S335" i="14"/>
  <c r="R335" i="14"/>
  <c r="Q167" i="14"/>
  <c r="R167" i="14"/>
  <c r="S167" i="14"/>
  <c r="N369" i="14"/>
  <c r="O369" i="14"/>
  <c r="N302" i="14"/>
  <c r="O302" i="14"/>
  <c r="N201" i="14"/>
  <c r="O201" i="14"/>
  <c r="N167" i="14"/>
  <c r="O167" i="14"/>
  <c r="O268" i="14"/>
  <c r="N268" i="14"/>
  <c r="N234" i="14"/>
  <c r="O234" i="14"/>
  <c r="N335" i="14"/>
  <c r="O335" i="14"/>
  <c r="N403" i="14"/>
  <c r="O403" i="14"/>
  <c r="M201" i="14"/>
  <c r="G201" i="14"/>
  <c r="M167" i="14"/>
  <c r="G167" i="14"/>
  <c r="M268" i="14"/>
  <c r="G268" i="14"/>
  <c r="M369" i="14"/>
  <c r="G369" i="14"/>
  <c r="M335" i="14"/>
  <c r="G335" i="14"/>
  <c r="M403" i="14"/>
  <c r="G403" i="14"/>
  <c r="M302" i="14"/>
  <c r="G302" i="14"/>
  <c r="M234" i="14"/>
  <c r="G234" i="14"/>
  <c r="AA402" i="14"/>
  <c r="A168" i="14"/>
  <c r="Z167" i="14"/>
  <c r="I167" i="14"/>
  <c r="H167" i="14"/>
  <c r="K167" i="14"/>
  <c r="L167" i="14"/>
  <c r="F167" i="14"/>
  <c r="W167" i="14"/>
  <c r="J167" i="14"/>
  <c r="E167" i="14"/>
  <c r="T167" i="14"/>
  <c r="Y167" i="14"/>
  <c r="U167" i="14"/>
  <c r="V167" i="14"/>
  <c r="X167" i="14"/>
  <c r="AA133" i="14"/>
  <c r="AD102" i="14"/>
  <c r="E335" i="14"/>
  <c r="L335" i="14"/>
  <c r="H335" i="14"/>
  <c r="V335" i="14"/>
  <c r="F335" i="14"/>
  <c r="I335" i="14"/>
  <c r="K335" i="14"/>
  <c r="T335" i="14"/>
  <c r="W335" i="14"/>
  <c r="A336" i="14"/>
  <c r="Y335" i="14"/>
  <c r="X335" i="14"/>
  <c r="J335" i="14"/>
  <c r="Z335" i="14"/>
  <c r="U335" i="14"/>
  <c r="AA200" i="14"/>
  <c r="AC67" i="14"/>
  <c r="A404" i="14"/>
  <c r="F403" i="14"/>
  <c r="X403" i="14"/>
  <c r="Y403" i="14"/>
  <c r="U403" i="14"/>
  <c r="Z403" i="14"/>
  <c r="J403" i="14"/>
  <c r="L403" i="14"/>
  <c r="H403" i="14"/>
  <c r="W403" i="14"/>
  <c r="V403" i="14"/>
  <c r="E403" i="14"/>
  <c r="T403" i="14"/>
  <c r="I403" i="14"/>
  <c r="K403" i="14"/>
  <c r="AA233" i="14"/>
  <c r="AA334" i="14"/>
  <c r="E201" i="14"/>
  <c r="J201" i="14"/>
  <c r="I201" i="14"/>
  <c r="X201" i="14"/>
  <c r="U201" i="14"/>
  <c r="L201" i="14"/>
  <c r="A202" i="14"/>
  <c r="Y201" i="14"/>
  <c r="V201" i="14"/>
  <c r="K201" i="14"/>
  <c r="W201" i="14"/>
  <c r="H201" i="14"/>
  <c r="F201" i="14"/>
  <c r="Z201" i="14"/>
  <c r="T201" i="14"/>
  <c r="AA166" i="14"/>
  <c r="E369" i="14"/>
  <c r="U369" i="14"/>
  <c r="Z369" i="14"/>
  <c r="Y369" i="14"/>
  <c r="T369" i="14"/>
  <c r="V369" i="14"/>
  <c r="A370" i="14"/>
  <c r="L369" i="14"/>
  <c r="W369" i="14"/>
  <c r="I369" i="14"/>
  <c r="F369" i="14"/>
  <c r="H369" i="14"/>
  <c r="J369" i="14"/>
  <c r="X369" i="14"/>
  <c r="K369" i="14"/>
  <c r="E302" i="14"/>
  <c r="A303" i="14"/>
  <c r="Z302" i="14"/>
  <c r="F302" i="14"/>
  <c r="T302" i="14"/>
  <c r="U302" i="14"/>
  <c r="V302" i="14"/>
  <c r="I302" i="14"/>
  <c r="J302" i="14"/>
  <c r="W302" i="14"/>
  <c r="X302" i="14"/>
  <c r="K302" i="14"/>
  <c r="L302" i="14"/>
  <c r="Y302" i="14"/>
  <c r="H302" i="14"/>
  <c r="AA368" i="14"/>
  <c r="AA301" i="14"/>
  <c r="E234" i="14"/>
  <c r="L234" i="14"/>
  <c r="T234" i="14"/>
  <c r="Z234" i="14"/>
  <c r="K234" i="14"/>
  <c r="W234" i="14"/>
  <c r="A235" i="14"/>
  <c r="H234" i="14"/>
  <c r="I234" i="14"/>
  <c r="F234" i="14"/>
  <c r="V234" i="14"/>
  <c r="Y234" i="14"/>
  <c r="X234" i="14"/>
  <c r="J234" i="14"/>
  <c r="U234" i="14"/>
  <c r="AA99" i="14"/>
  <c r="AD67" i="14"/>
  <c r="E268" i="14"/>
  <c r="A269" i="14"/>
  <c r="J268" i="14"/>
  <c r="X268" i="14"/>
  <c r="Z268" i="14"/>
  <c r="K268" i="14"/>
  <c r="H268" i="14"/>
  <c r="L268" i="14"/>
  <c r="T268" i="14"/>
  <c r="U268" i="14"/>
  <c r="W268" i="14"/>
  <c r="F268" i="14"/>
  <c r="Y268" i="14"/>
  <c r="V268" i="14"/>
  <c r="I268" i="14"/>
  <c r="AA267" i="14"/>
  <c r="AC103" i="14" l="1"/>
  <c r="Y437" i="14"/>
  <c r="O437" i="14"/>
  <c r="V437" i="14"/>
  <c r="Q437" i="14"/>
  <c r="N437" i="14"/>
  <c r="G437" i="14"/>
  <c r="H437" i="14"/>
  <c r="Z437" i="14"/>
  <c r="S437" i="14"/>
  <c r="U437" i="14"/>
  <c r="M437" i="14"/>
  <c r="R437" i="14"/>
  <c r="X437" i="14"/>
  <c r="F437" i="14"/>
  <c r="T437" i="14"/>
  <c r="L437" i="14"/>
  <c r="J437" i="14"/>
  <c r="I437" i="14"/>
  <c r="K437" i="14"/>
  <c r="E437" i="14"/>
  <c r="W437" i="14"/>
  <c r="A438" i="14"/>
  <c r="AA436" i="14"/>
  <c r="Q269" i="14"/>
  <c r="R269" i="14"/>
  <c r="S269" i="14"/>
  <c r="Q303" i="14"/>
  <c r="S303" i="14"/>
  <c r="R303" i="14"/>
  <c r="Q404" i="14"/>
  <c r="S404" i="14"/>
  <c r="R404" i="14"/>
  <c r="Q168" i="14"/>
  <c r="R168" i="14"/>
  <c r="S168" i="14"/>
  <c r="Q336" i="14"/>
  <c r="S336" i="14"/>
  <c r="R336" i="14"/>
  <c r="Q235" i="14"/>
  <c r="S235" i="14"/>
  <c r="R235" i="14"/>
  <c r="Q370" i="14"/>
  <c r="R370" i="14"/>
  <c r="S370" i="14"/>
  <c r="Q202" i="14"/>
  <c r="R202" i="14"/>
  <c r="S202" i="14"/>
  <c r="N202" i="14"/>
  <c r="O202" i="14"/>
  <c r="N269" i="14"/>
  <c r="O269" i="14"/>
  <c r="N235" i="14"/>
  <c r="O235" i="14"/>
  <c r="N336" i="14"/>
  <c r="O336" i="14"/>
  <c r="O303" i="14"/>
  <c r="N303" i="14"/>
  <c r="N404" i="14"/>
  <c r="O404" i="14"/>
  <c r="N168" i="14"/>
  <c r="O168" i="14"/>
  <c r="N370" i="14"/>
  <c r="O370" i="14"/>
  <c r="M336" i="14"/>
  <c r="G336" i="14"/>
  <c r="M235" i="14"/>
  <c r="G235" i="14"/>
  <c r="M404" i="14"/>
  <c r="G404" i="14"/>
  <c r="M269" i="14"/>
  <c r="G269" i="14"/>
  <c r="M370" i="14"/>
  <c r="G370" i="14"/>
  <c r="M168" i="14"/>
  <c r="G168" i="14"/>
  <c r="M303" i="14"/>
  <c r="G303" i="14"/>
  <c r="M202" i="14"/>
  <c r="G202" i="14"/>
  <c r="AA369" i="14"/>
  <c r="AA167" i="14"/>
  <c r="A236" i="14"/>
  <c r="H235" i="14"/>
  <c r="U235" i="14"/>
  <c r="F235" i="14"/>
  <c r="K235" i="14"/>
  <c r="J235" i="14"/>
  <c r="L235" i="14"/>
  <c r="Y235" i="14"/>
  <c r="I235" i="14"/>
  <c r="X235" i="14"/>
  <c r="T235" i="14"/>
  <c r="W235" i="14"/>
  <c r="V235" i="14"/>
  <c r="E235" i="14"/>
  <c r="Z235" i="14"/>
  <c r="AA201" i="14"/>
  <c r="I404" i="14"/>
  <c r="U404" i="14"/>
  <c r="K404" i="14"/>
  <c r="W404" i="14"/>
  <c r="Y404" i="14"/>
  <c r="A405" i="14"/>
  <c r="Z404" i="14"/>
  <c r="E404" i="14"/>
  <c r="H404" i="14"/>
  <c r="F404" i="14"/>
  <c r="T404" i="14"/>
  <c r="L404" i="14"/>
  <c r="X404" i="14"/>
  <c r="J404" i="14"/>
  <c r="V404" i="14"/>
  <c r="AA234" i="14"/>
  <c r="AA403" i="14"/>
  <c r="AA335" i="14"/>
  <c r="E202" i="14"/>
  <c r="T202" i="14"/>
  <c r="V202" i="14"/>
  <c r="Z202" i="14"/>
  <c r="I202" i="14"/>
  <c r="L202" i="14"/>
  <c r="X202" i="14"/>
  <c r="J202" i="14"/>
  <c r="F202" i="14"/>
  <c r="K202" i="14"/>
  <c r="U202" i="14"/>
  <c r="W202" i="14"/>
  <c r="Y202" i="14"/>
  <c r="H202" i="14"/>
  <c r="L336" i="14"/>
  <c r="A337" i="14"/>
  <c r="H336" i="14"/>
  <c r="U336" i="14"/>
  <c r="X336" i="14"/>
  <c r="F336" i="14"/>
  <c r="T336" i="14"/>
  <c r="W336" i="14"/>
  <c r="I336" i="14"/>
  <c r="J336" i="14"/>
  <c r="V336" i="14"/>
  <c r="Z336" i="14"/>
  <c r="E336" i="14"/>
  <c r="K336" i="14"/>
  <c r="Y336" i="14"/>
  <c r="T303" i="14"/>
  <c r="X303" i="14"/>
  <c r="A304" i="14"/>
  <c r="Y303" i="14"/>
  <c r="F303" i="14"/>
  <c r="H303" i="14"/>
  <c r="K303" i="14"/>
  <c r="V303" i="14"/>
  <c r="I303" i="14"/>
  <c r="E303" i="14"/>
  <c r="L303" i="14"/>
  <c r="W303" i="14"/>
  <c r="U303" i="14"/>
  <c r="Z303" i="14"/>
  <c r="J303" i="14"/>
  <c r="AA268" i="14"/>
  <c r="AC68" i="14"/>
  <c r="K370" i="14"/>
  <c r="J370" i="14"/>
  <c r="H370" i="14"/>
  <c r="W370" i="14"/>
  <c r="Z370" i="14"/>
  <c r="U370" i="14"/>
  <c r="V370" i="14"/>
  <c r="A371" i="14"/>
  <c r="E370" i="14"/>
  <c r="F370" i="14"/>
  <c r="Y370" i="14"/>
  <c r="X370" i="14"/>
  <c r="T370" i="14"/>
  <c r="I370" i="14"/>
  <c r="L370" i="14"/>
  <c r="AA302" i="14"/>
  <c r="U269" i="14"/>
  <c r="J269" i="14"/>
  <c r="K269" i="14"/>
  <c r="H269" i="14"/>
  <c r="E269" i="14"/>
  <c r="F269" i="14"/>
  <c r="X269" i="14"/>
  <c r="A270" i="14"/>
  <c r="Z269" i="14"/>
  <c r="T269" i="14"/>
  <c r="Y269" i="14"/>
  <c r="V269" i="14"/>
  <c r="I269" i="14"/>
  <c r="W269" i="14"/>
  <c r="L269" i="14"/>
  <c r="H168" i="14"/>
  <c r="V168" i="14"/>
  <c r="I168" i="14"/>
  <c r="E168" i="14"/>
  <c r="W168" i="14"/>
  <c r="X168" i="14"/>
  <c r="K168" i="14"/>
  <c r="T168" i="14"/>
  <c r="U168" i="14"/>
  <c r="L168" i="14"/>
  <c r="J168" i="14"/>
  <c r="Y168" i="14"/>
  <c r="F168" i="14"/>
  <c r="Z168" i="14"/>
  <c r="X438" i="14" l="1"/>
  <c r="Q438" i="14"/>
  <c r="T438" i="14"/>
  <c r="O438" i="14"/>
  <c r="N438" i="14"/>
  <c r="H438" i="14"/>
  <c r="G438" i="14"/>
  <c r="Z438" i="14"/>
  <c r="S438" i="14"/>
  <c r="W438" i="14"/>
  <c r="K438" i="14"/>
  <c r="R438" i="14"/>
  <c r="M438" i="14"/>
  <c r="Y438" i="14"/>
  <c r="F438" i="14"/>
  <c r="V438" i="14"/>
  <c r="J438" i="14"/>
  <c r="E438" i="14"/>
  <c r="L438" i="14"/>
  <c r="U438" i="14"/>
  <c r="A439" i="14"/>
  <c r="I438" i="14"/>
  <c r="AA437" i="14"/>
  <c r="Q337" i="14"/>
  <c r="R337" i="14"/>
  <c r="S337" i="14"/>
  <c r="Q236" i="14"/>
  <c r="S236" i="14"/>
  <c r="R236" i="14"/>
  <c r="Q304" i="14"/>
  <c r="R304" i="14"/>
  <c r="S304" i="14"/>
  <c r="Q405" i="14"/>
  <c r="R405" i="14"/>
  <c r="S405" i="14"/>
  <c r="Q270" i="14"/>
  <c r="S270" i="14"/>
  <c r="R270" i="14"/>
  <c r="Q371" i="14"/>
  <c r="R371" i="14"/>
  <c r="S371" i="14"/>
  <c r="N405" i="14"/>
  <c r="O405" i="14"/>
  <c r="N371" i="14"/>
  <c r="O371" i="14"/>
  <c r="N304" i="14"/>
  <c r="O304" i="14"/>
  <c r="O337" i="14"/>
  <c r="N337" i="14"/>
  <c r="N236" i="14"/>
  <c r="O236" i="14"/>
  <c r="N270" i="14"/>
  <c r="O270" i="14"/>
  <c r="AC136" i="14"/>
  <c r="M304" i="14"/>
  <c r="G304" i="14"/>
  <c r="M405" i="14"/>
  <c r="G405" i="14"/>
  <c r="M270" i="14"/>
  <c r="G270" i="14"/>
  <c r="M236" i="14"/>
  <c r="G236" i="14"/>
  <c r="M337" i="14"/>
  <c r="G337" i="14"/>
  <c r="M371" i="14"/>
  <c r="G371" i="14"/>
  <c r="AC171" i="14"/>
  <c r="AA336" i="14"/>
  <c r="H337" i="14"/>
  <c r="X337" i="14"/>
  <c r="J337" i="14"/>
  <c r="U337" i="14"/>
  <c r="Y337" i="14"/>
  <c r="Z337" i="14"/>
  <c r="T337" i="14"/>
  <c r="V337" i="14"/>
  <c r="E337" i="14"/>
  <c r="W337" i="14"/>
  <c r="A338" i="14"/>
  <c r="I337" i="14"/>
  <c r="F337" i="14"/>
  <c r="L337" i="14"/>
  <c r="K337" i="14"/>
  <c r="AA168" i="14"/>
  <c r="AD136" i="14"/>
  <c r="AA404" i="14"/>
  <c r="AA370" i="14"/>
  <c r="F270" i="14"/>
  <c r="H270" i="14"/>
  <c r="K270" i="14"/>
  <c r="Z270" i="14"/>
  <c r="J270" i="14"/>
  <c r="X270" i="14"/>
  <c r="E270" i="14"/>
  <c r="U270" i="14"/>
  <c r="L270" i="14"/>
  <c r="I270" i="14"/>
  <c r="W270" i="14"/>
  <c r="Y270" i="14"/>
  <c r="V270" i="14"/>
  <c r="T270" i="14"/>
  <c r="A271" i="14"/>
  <c r="T371" i="14"/>
  <c r="E371" i="14"/>
  <c r="V371" i="14"/>
  <c r="K371" i="14"/>
  <c r="X371" i="14"/>
  <c r="F371" i="14"/>
  <c r="Z371" i="14"/>
  <c r="W371" i="14"/>
  <c r="U371" i="14"/>
  <c r="I371" i="14"/>
  <c r="Y371" i="14"/>
  <c r="A372" i="14"/>
  <c r="H371" i="14"/>
  <c r="L371" i="14"/>
  <c r="J371" i="14"/>
  <c r="AA269" i="14"/>
  <c r="J236" i="14"/>
  <c r="Y236" i="14"/>
  <c r="H236" i="14"/>
  <c r="W236" i="14"/>
  <c r="E236" i="14"/>
  <c r="F236" i="14"/>
  <c r="K236" i="14"/>
  <c r="I236" i="14"/>
  <c r="V236" i="14"/>
  <c r="A237" i="14"/>
  <c r="T236" i="14"/>
  <c r="U236" i="14"/>
  <c r="Z236" i="14"/>
  <c r="L236" i="14"/>
  <c r="X236" i="14"/>
  <c r="E405" i="14"/>
  <c r="U405" i="14"/>
  <c r="J405" i="14"/>
  <c r="K405" i="14"/>
  <c r="H405" i="14"/>
  <c r="W405" i="14"/>
  <c r="I405" i="14"/>
  <c r="L405" i="14"/>
  <c r="Y405" i="14"/>
  <c r="T405" i="14"/>
  <c r="Z405" i="14"/>
  <c r="X405" i="14"/>
  <c r="A406" i="14"/>
  <c r="V405" i="14"/>
  <c r="F405" i="14"/>
  <c r="AA303" i="14"/>
  <c r="Y304" i="14"/>
  <c r="L304" i="14"/>
  <c r="E304" i="14"/>
  <c r="I304" i="14"/>
  <c r="H304" i="14"/>
  <c r="K304" i="14"/>
  <c r="J304" i="14"/>
  <c r="Z304" i="14"/>
  <c r="W304" i="14"/>
  <c r="X304" i="14"/>
  <c r="V304" i="14"/>
  <c r="F304" i="14"/>
  <c r="U304" i="14"/>
  <c r="T304" i="14"/>
  <c r="A305" i="14"/>
  <c r="AA202" i="14"/>
  <c r="AD171" i="14"/>
  <c r="AA235" i="14"/>
  <c r="W439" i="14" l="1"/>
  <c r="E439" i="14"/>
  <c r="U439" i="14"/>
  <c r="F439" i="14"/>
  <c r="Q439" i="14"/>
  <c r="S439" i="14"/>
  <c r="K439" i="14"/>
  <c r="R439" i="14"/>
  <c r="Y439" i="14"/>
  <c r="N439" i="14"/>
  <c r="A440" i="14"/>
  <c r="I439" i="14"/>
  <c r="M439" i="14"/>
  <c r="T439" i="14"/>
  <c r="Z439" i="14"/>
  <c r="L439" i="14"/>
  <c r="H439" i="14"/>
  <c r="X439" i="14"/>
  <c r="G439" i="14"/>
  <c r="V439" i="14"/>
  <c r="O439" i="14"/>
  <c r="J439" i="14"/>
  <c r="AA438" i="14"/>
  <c r="Q305" i="14"/>
  <c r="R305" i="14"/>
  <c r="S305" i="14"/>
  <c r="Q271" i="14"/>
  <c r="S271" i="14"/>
  <c r="R271" i="14"/>
  <c r="Q406" i="14"/>
  <c r="R406" i="14"/>
  <c r="S406" i="14"/>
  <c r="Q338" i="14"/>
  <c r="S338" i="14"/>
  <c r="R338" i="14"/>
  <c r="Q372" i="14"/>
  <c r="R372" i="14"/>
  <c r="S372" i="14"/>
  <c r="Q237" i="14"/>
  <c r="R237" i="14"/>
  <c r="S237" i="14"/>
  <c r="O305" i="14"/>
  <c r="N305" i="14"/>
  <c r="N271" i="14"/>
  <c r="O271" i="14"/>
  <c r="O338" i="14"/>
  <c r="N338" i="14"/>
  <c r="N237" i="14"/>
  <c r="O237" i="14"/>
  <c r="N406" i="14"/>
  <c r="O406" i="14"/>
  <c r="N372" i="14"/>
  <c r="O372" i="14"/>
  <c r="AC137" i="14"/>
  <c r="M305" i="14"/>
  <c r="G305" i="14"/>
  <c r="M338" i="14"/>
  <c r="G338" i="14"/>
  <c r="M271" i="14"/>
  <c r="G271" i="14"/>
  <c r="M406" i="14"/>
  <c r="G406" i="14"/>
  <c r="M237" i="14"/>
  <c r="G237" i="14"/>
  <c r="M372" i="14"/>
  <c r="G372" i="14"/>
  <c r="AC172" i="14"/>
  <c r="AA270" i="14"/>
  <c r="AA405" i="14"/>
  <c r="K338" i="14"/>
  <c r="E338" i="14"/>
  <c r="U338" i="14"/>
  <c r="X338" i="14"/>
  <c r="V338" i="14"/>
  <c r="L338" i="14"/>
  <c r="F338" i="14"/>
  <c r="W338" i="14"/>
  <c r="H338" i="14"/>
  <c r="A339" i="14"/>
  <c r="Y338" i="14"/>
  <c r="Z338" i="14"/>
  <c r="J338" i="14"/>
  <c r="T338" i="14"/>
  <c r="I338" i="14"/>
  <c r="AA337" i="14"/>
  <c r="L237" i="14"/>
  <c r="J237" i="14"/>
  <c r="X237" i="14"/>
  <c r="F237" i="14"/>
  <c r="Y237" i="14"/>
  <c r="W237" i="14"/>
  <c r="H237" i="14"/>
  <c r="U237" i="14"/>
  <c r="Z237" i="14"/>
  <c r="K237" i="14"/>
  <c r="I237" i="14"/>
  <c r="V237" i="14"/>
  <c r="E237" i="14"/>
  <c r="T237" i="14"/>
  <c r="Y372" i="14"/>
  <c r="H372" i="14"/>
  <c r="L372" i="14"/>
  <c r="U372" i="14"/>
  <c r="Z372" i="14"/>
  <c r="J372" i="14"/>
  <c r="K372" i="14"/>
  <c r="E372" i="14"/>
  <c r="W372" i="14"/>
  <c r="I372" i="14"/>
  <c r="X372" i="14"/>
  <c r="A373" i="14"/>
  <c r="T372" i="14"/>
  <c r="F372" i="14"/>
  <c r="V372" i="14"/>
  <c r="H406" i="14"/>
  <c r="K406" i="14"/>
  <c r="E406" i="14"/>
  <c r="J406" i="14"/>
  <c r="X406" i="14"/>
  <c r="L406" i="14"/>
  <c r="V406" i="14"/>
  <c r="Y406" i="14"/>
  <c r="W406" i="14"/>
  <c r="A407" i="14"/>
  <c r="F406" i="14"/>
  <c r="T406" i="14"/>
  <c r="I406" i="14"/>
  <c r="Z406" i="14"/>
  <c r="U406" i="14"/>
  <c r="W271" i="14"/>
  <c r="H271" i="14"/>
  <c r="Z271" i="14"/>
  <c r="I271" i="14"/>
  <c r="U271" i="14"/>
  <c r="E271" i="14"/>
  <c r="J271" i="14"/>
  <c r="K271" i="14"/>
  <c r="A272" i="14"/>
  <c r="L271" i="14"/>
  <c r="T271" i="14"/>
  <c r="V271" i="14"/>
  <c r="F271" i="14"/>
  <c r="X271" i="14"/>
  <c r="Y271" i="14"/>
  <c r="AA304" i="14"/>
  <c r="I305" i="14"/>
  <c r="V305" i="14"/>
  <c r="J305" i="14"/>
  <c r="H305" i="14"/>
  <c r="Y305" i="14"/>
  <c r="T305" i="14"/>
  <c r="E305" i="14"/>
  <c r="X305" i="14"/>
  <c r="K305" i="14"/>
  <c r="F305" i="14"/>
  <c r="U305" i="14"/>
  <c r="A306" i="14"/>
  <c r="Z305" i="14"/>
  <c r="W305" i="14"/>
  <c r="L305" i="14"/>
  <c r="AA371" i="14"/>
  <c r="AA236" i="14"/>
  <c r="V440" i="14" l="1"/>
  <c r="Z440" i="14"/>
  <c r="U440" i="14"/>
  <c r="M440" i="14"/>
  <c r="G440" i="14"/>
  <c r="E440" i="14"/>
  <c r="Y440" i="14"/>
  <c r="T440" i="14"/>
  <c r="A441" i="14"/>
  <c r="L440" i="14"/>
  <c r="F440" i="14"/>
  <c r="S440" i="14"/>
  <c r="Q440" i="14"/>
  <c r="K440" i="14"/>
  <c r="O440" i="14"/>
  <c r="R440" i="14"/>
  <c r="H440" i="14"/>
  <c r="J440" i="14"/>
  <c r="N440" i="14"/>
  <c r="X440" i="14"/>
  <c r="I440" i="14"/>
  <c r="W440" i="14"/>
  <c r="AA439" i="14"/>
  <c r="Q339" i="14"/>
  <c r="R339" i="14"/>
  <c r="S339" i="14"/>
  <c r="Q306" i="14"/>
  <c r="S306" i="14"/>
  <c r="R306" i="14"/>
  <c r="Q407" i="14"/>
  <c r="R407" i="14"/>
  <c r="S407" i="14"/>
  <c r="Q272" i="14"/>
  <c r="R272" i="14"/>
  <c r="S272" i="14"/>
  <c r="Q373" i="14"/>
  <c r="S373" i="14"/>
  <c r="R373" i="14"/>
  <c r="O306" i="14"/>
  <c r="N306" i="14"/>
  <c r="O339" i="14"/>
  <c r="N339" i="14"/>
  <c r="N407" i="14"/>
  <c r="O407" i="14"/>
  <c r="N272" i="14"/>
  <c r="O272" i="14"/>
  <c r="O373" i="14"/>
  <c r="N373" i="14"/>
  <c r="M407" i="14"/>
  <c r="G407" i="14"/>
  <c r="M272" i="14"/>
  <c r="G272" i="14"/>
  <c r="M339" i="14"/>
  <c r="G339" i="14"/>
  <c r="M373" i="14"/>
  <c r="G373" i="14"/>
  <c r="M306" i="14"/>
  <c r="G306" i="14"/>
  <c r="AC205" i="14"/>
  <c r="AC240" i="14"/>
  <c r="AA406" i="14"/>
  <c r="Z306" i="14"/>
  <c r="U306" i="14"/>
  <c r="H306" i="14"/>
  <c r="V306" i="14"/>
  <c r="E306" i="14"/>
  <c r="J306" i="14"/>
  <c r="L306" i="14"/>
  <c r="X306" i="14"/>
  <c r="K306" i="14"/>
  <c r="W306" i="14"/>
  <c r="T306" i="14"/>
  <c r="I306" i="14"/>
  <c r="Y306" i="14"/>
  <c r="F306" i="14"/>
  <c r="AA237" i="14"/>
  <c r="AD205" i="14"/>
  <c r="H339" i="14"/>
  <c r="Z339" i="14"/>
  <c r="V339" i="14"/>
  <c r="X339" i="14"/>
  <c r="E339" i="14"/>
  <c r="I339" i="14"/>
  <c r="J339" i="14"/>
  <c r="U339" i="14"/>
  <c r="T339" i="14"/>
  <c r="A340" i="14"/>
  <c r="K339" i="14"/>
  <c r="Y339" i="14"/>
  <c r="L339" i="14"/>
  <c r="W339" i="14"/>
  <c r="F339" i="14"/>
  <c r="X272" i="14"/>
  <c r="F272" i="14"/>
  <c r="L272" i="14"/>
  <c r="J272" i="14"/>
  <c r="H272" i="14"/>
  <c r="U272" i="14"/>
  <c r="I272" i="14"/>
  <c r="E272" i="14"/>
  <c r="V272" i="14"/>
  <c r="W272" i="14"/>
  <c r="K272" i="14"/>
  <c r="Z272" i="14"/>
  <c r="T272" i="14"/>
  <c r="Y272" i="14"/>
  <c r="F373" i="14"/>
  <c r="E373" i="14"/>
  <c r="J373" i="14"/>
  <c r="V373" i="14"/>
  <c r="Z373" i="14"/>
  <c r="K373" i="14"/>
  <c r="L373" i="14"/>
  <c r="Y373" i="14"/>
  <c r="T373" i="14"/>
  <c r="A374" i="14"/>
  <c r="X373" i="14"/>
  <c r="W373" i="14"/>
  <c r="U373" i="14"/>
  <c r="I373" i="14"/>
  <c r="H373" i="14"/>
  <c r="AA338" i="14"/>
  <c r="AA305" i="14"/>
  <c r="E407" i="14"/>
  <c r="Z407" i="14"/>
  <c r="I407" i="14"/>
  <c r="Y407" i="14"/>
  <c r="U407" i="14"/>
  <c r="K407" i="14"/>
  <c r="H407" i="14"/>
  <c r="V407" i="14"/>
  <c r="A408" i="14"/>
  <c r="W407" i="14"/>
  <c r="T407" i="14"/>
  <c r="L407" i="14"/>
  <c r="X407" i="14"/>
  <c r="J407" i="14"/>
  <c r="F407" i="14"/>
  <c r="AA271" i="14"/>
  <c r="AD240" i="14"/>
  <c r="AA372" i="14"/>
  <c r="AA440" i="14" l="1"/>
  <c r="U441" i="14"/>
  <c r="Y441" i="14"/>
  <c r="R441" i="14"/>
  <c r="V441" i="14"/>
  <c r="K441" i="14"/>
  <c r="O441" i="14"/>
  <c r="T441" i="14"/>
  <c r="E441" i="14"/>
  <c r="J441" i="14"/>
  <c r="A442" i="14"/>
  <c r="S441" i="14"/>
  <c r="N441" i="14"/>
  <c r="L441" i="14"/>
  <c r="M441" i="14"/>
  <c r="F441" i="14"/>
  <c r="X441" i="14"/>
  <c r="Q441" i="14"/>
  <c r="I441" i="14"/>
  <c r="W441" i="14"/>
  <c r="H441" i="14"/>
  <c r="Z441" i="14"/>
  <c r="G441" i="14"/>
  <c r="Q340" i="14"/>
  <c r="S340" i="14"/>
  <c r="R340" i="14"/>
  <c r="Q374" i="14"/>
  <c r="S374" i="14"/>
  <c r="R374" i="14"/>
  <c r="Q408" i="14"/>
  <c r="S408" i="14"/>
  <c r="R408" i="14"/>
  <c r="N408" i="14"/>
  <c r="O408" i="14"/>
  <c r="O374" i="14"/>
  <c r="N374" i="14"/>
  <c r="O340" i="14"/>
  <c r="N340" i="14"/>
  <c r="M374" i="14"/>
  <c r="G374" i="14"/>
  <c r="M408" i="14"/>
  <c r="G408" i="14"/>
  <c r="M340" i="14"/>
  <c r="G340" i="14"/>
  <c r="AC206" i="14"/>
  <c r="AC241" i="14"/>
  <c r="V340" i="14"/>
  <c r="W340" i="14"/>
  <c r="Z340" i="14"/>
  <c r="K340" i="14"/>
  <c r="I340" i="14"/>
  <c r="T340" i="14"/>
  <c r="E340" i="14"/>
  <c r="X340" i="14"/>
  <c r="A341" i="14"/>
  <c r="U340" i="14"/>
  <c r="J340" i="14"/>
  <c r="H340" i="14"/>
  <c r="Y340" i="14"/>
  <c r="F340" i="14"/>
  <c r="L340" i="14"/>
  <c r="AA306" i="14"/>
  <c r="AD275" i="14"/>
  <c r="AA407" i="14"/>
  <c r="AA373" i="14"/>
  <c r="AA339" i="14"/>
  <c r="V408" i="14"/>
  <c r="H408" i="14"/>
  <c r="X408" i="14"/>
  <c r="E408" i="14"/>
  <c r="Y408" i="14"/>
  <c r="U408" i="14"/>
  <c r="I408" i="14"/>
  <c r="K408" i="14"/>
  <c r="Z408" i="14"/>
  <c r="L408" i="14"/>
  <c r="A409" i="14"/>
  <c r="J408" i="14"/>
  <c r="F408" i="14"/>
  <c r="W408" i="14"/>
  <c r="T408" i="14"/>
  <c r="H374" i="14"/>
  <c r="J374" i="14"/>
  <c r="K374" i="14"/>
  <c r="I374" i="14"/>
  <c r="E374" i="14"/>
  <c r="W374" i="14"/>
  <c r="Z374" i="14"/>
  <c r="U374" i="14"/>
  <c r="V374" i="14"/>
  <c r="F374" i="14"/>
  <c r="A375" i="14"/>
  <c r="X374" i="14"/>
  <c r="T374" i="14"/>
  <c r="Y374" i="14"/>
  <c r="L374" i="14"/>
  <c r="AA272" i="14"/>
  <c r="AC275" i="14"/>
  <c r="A443" i="14" l="1"/>
  <c r="Z442" i="14"/>
  <c r="S442" i="14"/>
  <c r="L442" i="14"/>
  <c r="K442" i="14"/>
  <c r="Y442" i="14"/>
  <c r="R442" i="14"/>
  <c r="X442" i="14"/>
  <c r="F442" i="14"/>
  <c r="N442" i="14"/>
  <c r="Q442" i="14"/>
  <c r="E442" i="14"/>
  <c r="O442" i="14"/>
  <c r="W442" i="14"/>
  <c r="T442" i="14"/>
  <c r="G442" i="14"/>
  <c r="J442" i="14"/>
  <c r="V442" i="14"/>
  <c r="I442" i="14"/>
  <c r="U442" i="14"/>
  <c r="M442" i="14"/>
  <c r="H442" i="14"/>
  <c r="AA441" i="14"/>
  <c r="Q341" i="14"/>
  <c r="R341" i="14"/>
  <c r="S341" i="14"/>
  <c r="Q409" i="14"/>
  <c r="R409" i="14"/>
  <c r="S409" i="14"/>
  <c r="Q375" i="14"/>
  <c r="S375" i="14"/>
  <c r="R375" i="14"/>
  <c r="O341" i="14"/>
  <c r="N341" i="14"/>
  <c r="O409" i="14"/>
  <c r="N409" i="14"/>
  <c r="O375" i="14"/>
  <c r="N375" i="14"/>
  <c r="M375" i="14"/>
  <c r="G375" i="14"/>
  <c r="M409" i="14"/>
  <c r="G409" i="14"/>
  <c r="M341" i="14"/>
  <c r="G341" i="14"/>
  <c r="AC309" i="14"/>
  <c r="AA340" i="14"/>
  <c r="AD309" i="14"/>
  <c r="H409" i="14"/>
  <c r="U409" i="14"/>
  <c r="X409" i="14"/>
  <c r="Y409" i="14"/>
  <c r="L409" i="14"/>
  <c r="F409" i="14"/>
  <c r="I409" i="14"/>
  <c r="J409" i="14"/>
  <c r="E409" i="14"/>
  <c r="W409" i="14"/>
  <c r="V409" i="14"/>
  <c r="K409" i="14"/>
  <c r="A410" i="14"/>
  <c r="T409" i="14"/>
  <c r="Z409" i="14"/>
  <c r="AA408" i="14"/>
  <c r="F341" i="14"/>
  <c r="L341" i="14"/>
  <c r="I341" i="14"/>
  <c r="H341" i="14"/>
  <c r="Y341" i="14"/>
  <c r="Z341" i="14"/>
  <c r="W341" i="14"/>
  <c r="X341" i="14"/>
  <c r="U341" i="14"/>
  <c r="V341" i="14"/>
  <c r="T341" i="14"/>
  <c r="K341" i="14"/>
  <c r="J341" i="14"/>
  <c r="E341" i="14"/>
  <c r="X375" i="14"/>
  <c r="I375" i="14"/>
  <c r="Z375" i="14"/>
  <c r="U375" i="14"/>
  <c r="Y375" i="14"/>
  <c r="V375" i="14"/>
  <c r="F375" i="14"/>
  <c r="H375" i="14"/>
  <c r="J375" i="14"/>
  <c r="K375" i="14"/>
  <c r="E375" i="14"/>
  <c r="T375" i="14"/>
  <c r="W375" i="14"/>
  <c r="L375" i="14"/>
  <c r="AC276" i="14"/>
  <c r="AA374" i="14"/>
  <c r="AC378" i="14" l="1"/>
  <c r="AA442" i="14"/>
  <c r="F443" i="14"/>
  <c r="H443" i="14"/>
  <c r="X443" i="14"/>
  <c r="J443" i="14"/>
  <c r="L443" i="14"/>
  <c r="Z443" i="14"/>
  <c r="R443" i="14"/>
  <c r="K443" i="14"/>
  <c r="V443" i="14"/>
  <c r="Y443" i="14"/>
  <c r="U443" i="14"/>
  <c r="S443" i="14"/>
  <c r="T443" i="14"/>
  <c r="E443" i="14"/>
  <c r="W443" i="14"/>
  <c r="Q443" i="14"/>
  <c r="N443" i="14"/>
  <c r="G443" i="14"/>
  <c r="M443" i="14"/>
  <c r="I443" i="14"/>
  <c r="O443" i="14"/>
  <c r="Q410" i="14"/>
  <c r="S410" i="14"/>
  <c r="R410" i="14"/>
  <c r="O410" i="14"/>
  <c r="N410" i="14"/>
  <c r="AC344" i="14"/>
  <c r="M410" i="14"/>
  <c r="G410" i="14"/>
  <c r="AC310" i="14"/>
  <c r="AA341" i="14"/>
  <c r="AA409" i="14"/>
  <c r="AD378" i="14"/>
  <c r="AC379" i="14" s="1"/>
  <c r="U410" i="14"/>
  <c r="Z410" i="14"/>
  <c r="X410" i="14"/>
  <c r="L410" i="14"/>
  <c r="J410" i="14"/>
  <c r="I410" i="14"/>
  <c r="E410" i="14"/>
  <c r="Y410" i="14"/>
  <c r="F410" i="14"/>
  <c r="K410" i="14"/>
  <c r="T410" i="14"/>
  <c r="V410" i="14"/>
  <c r="W410" i="14"/>
  <c r="H410" i="14"/>
  <c r="AA375" i="14"/>
  <c r="AD344" i="14"/>
  <c r="AA443" i="14" l="1"/>
  <c r="AD412" i="14"/>
  <c r="AC412" i="14"/>
  <c r="AC345" i="14"/>
  <c r="AA410" i="14"/>
  <c r="AC413" i="14" l="1"/>
  <c r="B4" i="14" l="1"/>
  <c r="B5" i="14" l="1"/>
  <c r="C4" i="14"/>
  <c r="C5" i="14" l="1"/>
  <c r="B6" i="14"/>
  <c r="C6" i="14" l="1"/>
  <c r="C7" i="14" l="1"/>
  <c r="B9" i="14" l="1"/>
  <c r="C8" i="14"/>
  <c r="B10" i="14" l="1"/>
  <c r="C9" i="14"/>
  <c r="B11" i="14" l="1"/>
  <c r="C10" i="14"/>
  <c r="B12" i="14" l="1"/>
  <c r="C11" i="14"/>
  <c r="B13" i="14" l="1"/>
  <c r="C12" i="14"/>
  <c r="B14" i="14" l="1"/>
  <c r="C13" i="14"/>
  <c r="C14" i="14" l="1"/>
  <c r="B15" i="14"/>
  <c r="C15" i="14" l="1"/>
  <c r="B16" i="14"/>
  <c r="B17" i="14" l="1"/>
  <c r="C16" i="14"/>
  <c r="C17" i="14" l="1"/>
  <c r="B18" i="14"/>
  <c r="C18" i="14" l="1"/>
  <c r="B19" i="14"/>
  <c r="B20" i="14" l="1"/>
  <c r="C19" i="14"/>
  <c r="B21" i="14" l="1"/>
  <c r="C20" i="14"/>
  <c r="C21" i="14" l="1"/>
  <c r="B23" i="14" l="1"/>
  <c r="C22" i="14"/>
  <c r="B24" i="14" l="1"/>
  <c r="C23" i="14"/>
  <c r="C24" i="14" l="1"/>
  <c r="B25" i="14"/>
  <c r="C25" i="14" l="1"/>
  <c r="B26" i="14"/>
  <c r="B27" i="14" l="1"/>
  <c r="C26" i="14"/>
  <c r="C27" i="14" l="1"/>
  <c r="B28" i="14"/>
  <c r="B29" i="14" l="1"/>
  <c r="C28" i="14"/>
  <c r="C29" i="14" l="1"/>
  <c r="C30" i="14" l="1"/>
  <c r="B32" i="14" l="1"/>
  <c r="C31" i="14"/>
  <c r="C32" i="14" l="1"/>
  <c r="B33" i="14"/>
  <c r="C33" i="14" l="1"/>
  <c r="B37" i="14"/>
  <c r="B38" i="14" l="1"/>
  <c r="C37" i="14"/>
  <c r="B39" i="14" l="1"/>
  <c r="C38" i="14"/>
  <c r="B40" i="14" l="1"/>
  <c r="C39" i="14"/>
  <c r="B41" i="14" l="1"/>
  <c r="C40" i="14"/>
  <c r="C41" i="14" l="1"/>
  <c r="B43" i="14" l="1"/>
  <c r="C42" i="14"/>
  <c r="C43" i="14" l="1"/>
  <c r="B44" i="14"/>
  <c r="C44" i="14" l="1"/>
  <c r="B46" i="14" l="1"/>
  <c r="C45" i="14"/>
  <c r="B47" i="14" l="1"/>
  <c r="C46" i="14"/>
  <c r="B48" i="14" l="1"/>
  <c r="C47" i="14"/>
  <c r="B49" i="14" l="1"/>
  <c r="C48" i="14"/>
  <c r="B50" i="14" l="1"/>
  <c r="C49" i="14"/>
  <c r="B51" i="14" l="1"/>
  <c r="C50" i="14"/>
  <c r="C51" i="14" l="1"/>
  <c r="B53" i="14" l="1"/>
  <c r="C52" i="14"/>
  <c r="C53" i="14" l="1"/>
  <c r="B54" i="14"/>
  <c r="B55" i="14" l="1"/>
  <c r="C54" i="14"/>
  <c r="B56" i="14" l="1"/>
  <c r="C55" i="14"/>
  <c r="B57" i="14" l="1"/>
  <c r="C56" i="14"/>
  <c r="B58" i="14" l="1"/>
  <c r="C57" i="14"/>
  <c r="C58" i="14" l="1"/>
  <c r="B59" i="14"/>
  <c r="C59" i="14" l="1"/>
  <c r="B60" i="14"/>
  <c r="C60" i="14" l="1"/>
  <c r="B62" i="14" l="1"/>
  <c r="C61" i="14"/>
  <c r="B63" i="14" l="1"/>
  <c r="C62" i="14"/>
  <c r="B64" i="14" l="1"/>
  <c r="C63" i="14"/>
  <c r="C64" i="14" l="1"/>
  <c r="B69" i="14"/>
  <c r="C69" i="14" l="1"/>
  <c r="B70" i="14"/>
  <c r="C70" i="14" l="1"/>
  <c r="B71" i="14"/>
  <c r="C71" i="14" l="1"/>
  <c r="B72" i="14"/>
  <c r="C72" i="14" l="1"/>
  <c r="B73" i="14"/>
  <c r="B74" i="14" l="1"/>
  <c r="C73" i="14"/>
  <c r="B75" i="14" l="1"/>
  <c r="C74" i="14"/>
  <c r="B76" i="14" l="1"/>
  <c r="C75" i="14"/>
  <c r="B77" i="14" l="1"/>
  <c r="C76" i="14"/>
  <c r="C77" i="14" l="1"/>
  <c r="B78" i="14"/>
  <c r="B79" i="14" l="1"/>
  <c r="C78" i="14"/>
  <c r="B80" i="14" l="1"/>
  <c r="C79" i="14"/>
  <c r="B81" i="14" l="1"/>
  <c r="C80" i="14"/>
  <c r="B82" i="14" l="1"/>
  <c r="C81" i="14"/>
  <c r="B83" i="14" l="1"/>
  <c r="C82" i="14"/>
  <c r="B84" i="14" l="1"/>
  <c r="C83" i="14"/>
  <c r="C84" i="14" l="1"/>
  <c r="C85" i="14" l="1"/>
  <c r="B86" i="14"/>
  <c r="C86" i="14" l="1"/>
  <c r="B87" i="14"/>
  <c r="B88" i="14" l="1"/>
  <c r="C87" i="14"/>
  <c r="C88" i="14" l="1"/>
  <c r="B89" i="14"/>
  <c r="B90" i="14" l="1"/>
  <c r="C89" i="14"/>
  <c r="B91" i="14" l="1"/>
  <c r="C90" i="14"/>
  <c r="B92" i="14" l="1"/>
  <c r="C91" i="14"/>
  <c r="B93" i="14" l="1"/>
  <c r="C92" i="14"/>
  <c r="C93" i="14" l="1"/>
  <c r="B94" i="14"/>
  <c r="B95" i="14" l="1"/>
  <c r="C94" i="14"/>
  <c r="B96" i="14" l="1"/>
  <c r="C95" i="14"/>
  <c r="C96" i="14" l="1"/>
  <c r="B97" i="14"/>
  <c r="B98" i="14" l="1"/>
  <c r="C97" i="14"/>
  <c r="C98" i="14" l="1"/>
  <c r="B99" i="14"/>
  <c r="B104" i="14" l="1"/>
  <c r="C99" i="14"/>
  <c r="C104" i="14" l="1"/>
  <c r="B105" i="14"/>
  <c r="C105" i="14" l="1"/>
  <c r="B106" i="14"/>
  <c r="B107" i="14" l="1"/>
  <c r="C106" i="14"/>
  <c r="C107" i="14" l="1"/>
  <c r="B108" i="14"/>
  <c r="C108" i="14" l="1"/>
  <c r="B109" i="14"/>
  <c r="B110" i="14" l="1"/>
  <c r="C109" i="14"/>
  <c r="B111" i="14" l="1"/>
  <c r="C110" i="14"/>
  <c r="B112" i="14" l="1"/>
  <c r="C111" i="14"/>
  <c r="B113" i="14" l="1"/>
  <c r="C112" i="14"/>
  <c r="B114" i="14" l="1"/>
  <c r="C113" i="14"/>
  <c r="B115" i="14" l="1"/>
  <c r="C114" i="14"/>
  <c r="B116" i="14" l="1"/>
  <c r="C115" i="14"/>
  <c r="C116" i="14" l="1"/>
  <c r="B117" i="14"/>
  <c r="C117" i="14" l="1"/>
  <c r="B118" i="14"/>
  <c r="C118" i="14" l="1"/>
  <c r="B119" i="14"/>
  <c r="B120" i="14" l="1"/>
  <c r="C119" i="14"/>
  <c r="C120" i="14" l="1"/>
  <c r="B121" i="14"/>
  <c r="C121" i="14" l="1"/>
  <c r="B122" i="14"/>
  <c r="B123" i="14" l="1"/>
  <c r="C122" i="14"/>
  <c r="C123" i="14" l="1"/>
  <c r="B124" i="14"/>
  <c r="C124" i="14" l="1"/>
  <c r="B125" i="14"/>
  <c r="B126" i="14" l="1"/>
  <c r="C125" i="14"/>
  <c r="B127" i="14" l="1"/>
  <c r="C126" i="14"/>
  <c r="B128" i="14" l="1"/>
  <c r="C127" i="14"/>
  <c r="B129" i="14" l="1"/>
  <c r="C128" i="14"/>
  <c r="B130" i="14" l="1"/>
  <c r="C129" i="14"/>
  <c r="B131" i="14" l="1"/>
  <c r="C130" i="14"/>
  <c r="B132" i="14" l="1"/>
  <c r="C131" i="14"/>
  <c r="B133" i="14" l="1"/>
  <c r="B138" i="14" s="1"/>
  <c r="C132" i="14"/>
  <c r="C133" i="14" l="1"/>
  <c r="C138" i="14" l="1"/>
  <c r="B140" i="14" l="1"/>
  <c r="C139" i="14"/>
  <c r="B141" i="14" l="1"/>
  <c r="C140" i="14"/>
  <c r="C141" i="14" l="1"/>
  <c r="B142" i="14"/>
  <c r="B143" i="14" l="1"/>
  <c r="C142" i="14"/>
  <c r="B144" i="14" l="1"/>
  <c r="C143" i="14"/>
  <c r="C144" i="14" l="1"/>
  <c r="B145" i="14"/>
  <c r="C145" i="14" l="1"/>
  <c r="B146" i="14"/>
  <c r="B147" i="14" l="1"/>
  <c r="C146" i="14"/>
  <c r="B148" i="14" l="1"/>
  <c r="C147" i="14"/>
  <c r="B149" i="14" l="1"/>
  <c r="C148" i="14"/>
  <c r="B150" i="14" l="1"/>
  <c r="C149" i="14"/>
  <c r="B151" i="14" l="1"/>
  <c r="C150" i="14"/>
  <c r="B152" i="14" l="1"/>
  <c r="C151" i="14"/>
  <c r="B153" i="14" l="1"/>
  <c r="C152" i="14"/>
  <c r="B154" i="14" l="1"/>
  <c r="C153" i="14"/>
  <c r="C154" i="14" l="1"/>
  <c r="B155" i="14"/>
  <c r="B156" i="14" l="1"/>
  <c r="C155" i="14"/>
  <c r="B157" i="14" l="1"/>
  <c r="C156" i="14"/>
  <c r="B158" i="14" l="1"/>
  <c r="C157" i="14"/>
  <c r="C158" i="14" l="1"/>
  <c r="B159" i="14"/>
  <c r="B160" i="14" l="1"/>
  <c r="C159" i="14"/>
  <c r="C160" i="14" l="1"/>
  <c r="B161" i="14"/>
  <c r="B162" i="14" l="1"/>
  <c r="C161" i="14"/>
  <c r="C162" i="14" l="1"/>
  <c r="B163" i="14"/>
  <c r="B164" i="14" l="1"/>
  <c r="C163" i="14"/>
  <c r="B165" i="14" l="1"/>
  <c r="C164" i="14"/>
  <c r="B166" i="14" l="1"/>
  <c r="C165" i="14"/>
  <c r="C166" i="14" l="1"/>
  <c r="B167" i="14"/>
  <c r="C167" i="14" l="1"/>
  <c r="C168" i="14" l="1"/>
  <c r="B173" i="14"/>
  <c r="C173" i="14" l="1"/>
  <c r="B174" i="14"/>
  <c r="C174" i="14" l="1"/>
  <c r="B175" i="14"/>
  <c r="C175" i="14" l="1"/>
  <c r="B176" i="14"/>
  <c r="B177" i="14" l="1"/>
  <c r="C176" i="14"/>
  <c r="C177" i="14" l="1"/>
  <c r="B178" i="14"/>
  <c r="C178" i="14" l="1"/>
  <c r="B179" i="14"/>
  <c r="C179" i="14" l="1"/>
  <c r="B180" i="14"/>
  <c r="C180" i="14" l="1"/>
  <c r="B181" i="14"/>
  <c r="B182" i="14" l="1"/>
  <c r="C181" i="14"/>
  <c r="B183" i="14" l="1"/>
  <c r="C182" i="14"/>
  <c r="B184" i="14" l="1"/>
  <c r="C183" i="14"/>
  <c r="B185" i="14" l="1"/>
  <c r="C184" i="14"/>
  <c r="B186" i="14" l="1"/>
  <c r="C185" i="14"/>
  <c r="C186" i="14" l="1"/>
  <c r="B188" i="14" l="1"/>
  <c r="C187" i="14"/>
  <c r="C188" i="14" l="1"/>
  <c r="B189" i="14"/>
  <c r="B190" i="14" l="1"/>
  <c r="C189" i="14"/>
  <c r="C190" i="14" l="1"/>
  <c r="B191" i="14"/>
  <c r="C191" i="14" l="1"/>
  <c r="B192" i="14"/>
  <c r="C192" i="14" l="1"/>
  <c r="C193" i="14" l="1"/>
  <c r="B194" i="14"/>
  <c r="C194" i="14" l="1"/>
  <c r="B195" i="14"/>
  <c r="B196" i="14" l="1"/>
  <c r="C195" i="14"/>
  <c r="C196" i="14" l="1"/>
  <c r="B197" i="14"/>
  <c r="C197" i="14" l="1"/>
  <c r="B198" i="14"/>
  <c r="B199" i="14" l="1"/>
  <c r="C198" i="14"/>
  <c r="B200" i="14" l="1"/>
  <c r="C199" i="14"/>
  <c r="B201" i="14" l="1"/>
  <c r="C200" i="14"/>
  <c r="C201" i="14" l="1"/>
  <c r="B207" i="14" l="1"/>
  <c r="C202" i="14"/>
  <c r="C207" i="14" l="1"/>
  <c r="B208" i="14"/>
  <c r="C208" i="14" l="1"/>
  <c r="B209" i="14"/>
  <c r="B210" i="14" l="1"/>
  <c r="C209" i="14"/>
  <c r="B211" i="14" l="1"/>
  <c r="C210" i="14"/>
  <c r="C211" i="14" l="1"/>
  <c r="B212" i="14"/>
  <c r="B213" i="14" l="1"/>
  <c r="C212" i="14"/>
  <c r="C213" i="14" l="1"/>
  <c r="B214" i="14"/>
  <c r="C214" i="14" l="1"/>
  <c r="B215" i="14"/>
  <c r="C215" i="14" l="1"/>
  <c r="B216" i="14"/>
  <c r="C216" i="14" l="1"/>
  <c r="B217" i="14"/>
  <c r="C217" i="14" l="1"/>
  <c r="B218" i="14"/>
  <c r="B219" i="14" l="1"/>
  <c r="C218" i="14"/>
  <c r="C219" i="14" l="1"/>
  <c r="B220" i="14"/>
  <c r="C220" i="14" l="1"/>
  <c r="B221" i="14"/>
  <c r="C221" i="14" l="1"/>
  <c r="B222" i="14"/>
  <c r="B223" i="14" l="1"/>
  <c r="C222" i="14"/>
  <c r="B224" i="14" l="1"/>
  <c r="C223" i="14"/>
  <c r="B225" i="14" l="1"/>
  <c r="C224" i="14"/>
  <c r="B226" i="14" l="1"/>
  <c r="C225" i="14"/>
  <c r="C226" i="14" l="1"/>
  <c r="B227" i="14"/>
  <c r="C227" i="14" l="1"/>
  <c r="B228" i="14"/>
  <c r="B229" i="14" l="1"/>
  <c r="C228" i="14"/>
  <c r="B230" i="14" l="1"/>
  <c r="C229" i="14"/>
  <c r="B231" i="14" l="1"/>
  <c r="C230" i="14"/>
  <c r="C231" i="14" l="1"/>
  <c r="B232" i="14"/>
  <c r="C232" i="14" l="1"/>
  <c r="B233" i="14"/>
  <c r="C233" i="14" l="1"/>
  <c r="B234" i="14"/>
  <c r="C234" i="14" l="1"/>
  <c r="B235" i="14"/>
  <c r="C235" i="14" l="1"/>
  <c r="B236" i="14"/>
  <c r="B237" i="14" l="1"/>
  <c r="C236" i="14"/>
  <c r="B242" i="14" l="1"/>
  <c r="C237" i="14"/>
  <c r="B243" i="14" l="1"/>
  <c r="C242" i="14"/>
  <c r="B244" i="14" l="1"/>
  <c r="C243" i="14"/>
  <c r="B245" i="14" l="1"/>
  <c r="C244" i="14"/>
  <c r="C245" i="14" l="1"/>
  <c r="B246" i="14"/>
  <c r="C246" i="14" l="1"/>
  <c r="B247" i="14"/>
  <c r="C247" i="14" l="1"/>
  <c r="B248" i="14"/>
  <c r="B249" i="14" l="1"/>
  <c r="C248" i="14"/>
  <c r="B250" i="14" l="1"/>
  <c r="C249" i="14"/>
  <c r="C250" i="14" l="1"/>
  <c r="B251" i="14"/>
  <c r="C251" i="14" l="1"/>
  <c r="B252" i="14"/>
  <c r="C252" i="14" l="1"/>
  <c r="B253" i="14"/>
  <c r="C253" i="14" l="1"/>
  <c r="B254" i="14"/>
  <c r="B255" i="14" l="1"/>
  <c r="C254" i="14"/>
  <c r="C255" i="14" l="1"/>
  <c r="C256" i="14" l="1"/>
  <c r="B257" i="14"/>
  <c r="B258" i="14" l="1"/>
  <c r="C257" i="14"/>
  <c r="B259" i="14" l="1"/>
  <c r="C258" i="14"/>
  <c r="B260" i="14" l="1"/>
  <c r="C259" i="14"/>
  <c r="B261" i="14" l="1"/>
  <c r="C260" i="14"/>
  <c r="B262" i="14" l="1"/>
  <c r="C261" i="14"/>
  <c r="C262" i="14" l="1"/>
  <c r="B263" i="14"/>
  <c r="C263" i="14" l="1"/>
  <c r="B264" i="14"/>
  <c r="B265" i="14" l="1"/>
  <c r="C264" i="14"/>
  <c r="C265" i="14" l="1"/>
  <c r="B266" i="14"/>
  <c r="B267" i="14" l="1"/>
  <c r="C266" i="14"/>
  <c r="C267" i="14" l="1"/>
  <c r="B268" i="14"/>
  <c r="C268" i="14" l="1"/>
  <c r="B269" i="14"/>
  <c r="B270" i="14" l="1"/>
  <c r="C269" i="14"/>
  <c r="B271" i="14" l="1"/>
  <c r="C270" i="14"/>
  <c r="C271" i="14" l="1"/>
  <c r="B272" i="14"/>
  <c r="C272" i="14" l="1"/>
  <c r="B277" i="14"/>
  <c r="B278" i="14" l="1"/>
  <c r="C277" i="14"/>
  <c r="B279" i="14" l="1"/>
  <c r="C278" i="14"/>
  <c r="B280" i="14" l="1"/>
  <c r="C279" i="14"/>
  <c r="B281" i="14" l="1"/>
  <c r="C280" i="14"/>
  <c r="B282" i="14" l="1"/>
  <c r="C281" i="14"/>
  <c r="B283" i="14" l="1"/>
  <c r="C282" i="14"/>
  <c r="C283" i="14" l="1"/>
  <c r="B285" i="14" l="1"/>
  <c r="C284" i="14"/>
  <c r="C285" i="14" l="1"/>
  <c r="B286" i="14"/>
  <c r="C286" i="14" l="1"/>
  <c r="B287" i="14"/>
  <c r="C287" i="14" l="1"/>
  <c r="B288" i="14"/>
  <c r="C288" i="14" l="1"/>
  <c r="B289" i="14"/>
  <c r="B290" i="14" l="1"/>
  <c r="C289" i="14"/>
  <c r="C290" i="14" l="1"/>
  <c r="B291" i="14"/>
  <c r="C291" i="14" l="1"/>
  <c r="B292" i="14"/>
  <c r="B293" i="14" l="1"/>
  <c r="C292" i="14"/>
  <c r="B294" i="14" l="1"/>
  <c r="C293" i="14"/>
  <c r="C294" i="14" l="1"/>
  <c r="B295" i="14"/>
  <c r="B296" i="14" l="1"/>
  <c r="C295" i="14"/>
  <c r="C296" i="14" l="1"/>
  <c r="B297" i="14"/>
  <c r="B298" i="14" l="1"/>
  <c r="C297" i="14"/>
  <c r="B299" i="14" l="1"/>
  <c r="C298" i="14"/>
  <c r="C299" i="14" l="1"/>
  <c r="B300" i="14"/>
  <c r="B301" i="14" l="1"/>
  <c r="C300" i="14"/>
  <c r="C301" i="14" l="1"/>
  <c r="B302" i="14"/>
  <c r="B303" i="14" l="1"/>
  <c r="C302" i="14"/>
  <c r="C303" i="14" l="1"/>
  <c r="B304" i="14"/>
  <c r="C304" i="14" l="1"/>
  <c r="B305" i="14"/>
  <c r="C305" i="14" l="1"/>
  <c r="B306" i="14"/>
  <c r="C306" i="14" l="1"/>
  <c r="B311" i="14"/>
  <c r="C311" i="14" l="1"/>
  <c r="B312" i="14"/>
  <c r="C312" i="14" l="1"/>
  <c r="B313" i="14"/>
  <c r="C313" i="14" l="1"/>
  <c r="B314" i="14"/>
  <c r="B315" i="14" l="1"/>
  <c r="C314" i="14"/>
  <c r="B316" i="14" l="1"/>
  <c r="C315" i="14"/>
  <c r="C316" i="14" l="1"/>
  <c r="B317" i="14"/>
  <c r="C317" i="14" l="1"/>
  <c r="B318" i="14"/>
  <c r="B319" i="14" l="1"/>
  <c r="C318" i="14"/>
  <c r="C319" i="14" l="1"/>
  <c r="B320" i="14"/>
  <c r="B321" i="14" l="1"/>
  <c r="C320" i="14"/>
  <c r="B322" i="14" l="1"/>
  <c r="C321" i="14"/>
  <c r="C322" i="14" l="1"/>
  <c r="B323" i="14"/>
  <c r="C323" i="14" l="1"/>
  <c r="B324" i="14"/>
  <c r="C324" i="14" l="1"/>
  <c r="B325" i="14"/>
  <c r="C325" i="14" l="1"/>
  <c r="B326" i="14"/>
  <c r="C326" i="14" l="1"/>
  <c r="B327" i="14"/>
  <c r="C327" i="14" l="1"/>
  <c r="B329" i="14" l="1"/>
  <c r="C328" i="14"/>
  <c r="B330" i="14" l="1"/>
  <c r="C329" i="14"/>
  <c r="B331" i="14" l="1"/>
  <c r="C330" i="14"/>
  <c r="C331" i="14" l="1"/>
  <c r="C332" i="14" l="1"/>
  <c r="B333" i="14"/>
  <c r="B334" i="14" l="1"/>
  <c r="C333" i="14"/>
  <c r="C334" i="14" l="1"/>
  <c r="B335" i="14"/>
  <c r="C335" i="14" l="1"/>
  <c r="B336" i="14"/>
  <c r="C336" i="14" l="1"/>
  <c r="B337" i="14"/>
  <c r="C337" i="14" l="1"/>
  <c r="B338" i="14"/>
  <c r="C338" i="14" l="1"/>
  <c r="B339" i="14"/>
  <c r="B340" i="14" l="1"/>
  <c r="C339" i="14"/>
  <c r="C340" i="14" l="1"/>
  <c r="B341" i="14"/>
  <c r="B346" i="14" l="1"/>
  <c r="C341" i="14"/>
  <c r="C346" i="14" l="1"/>
  <c r="B347" i="14"/>
  <c r="C347" i="14" l="1"/>
  <c r="B348" i="14"/>
  <c r="B349" i="14" l="1"/>
  <c r="C348" i="14"/>
  <c r="B350" i="14" l="1"/>
  <c r="C349" i="14"/>
  <c r="B351" i="14" l="1"/>
  <c r="C350" i="14"/>
  <c r="C351" i="14" l="1"/>
  <c r="B353" i="14" l="1"/>
  <c r="C352" i="14"/>
  <c r="B354" i="14" l="1"/>
  <c r="C353" i="14"/>
  <c r="B355" i="14" l="1"/>
  <c r="C354" i="14"/>
  <c r="C355" i="14" l="1"/>
  <c r="B356" i="14"/>
  <c r="B357" i="14" l="1"/>
  <c r="C356" i="14"/>
  <c r="B358" i="14" l="1"/>
  <c r="C357" i="14"/>
  <c r="C358" i="14" l="1"/>
  <c r="B359" i="14"/>
  <c r="B360" i="14" l="1"/>
  <c r="C359" i="14"/>
  <c r="C360" i="14" l="1"/>
  <c r="B361" i="14"/>
  <c r="C361" i="14" l="1"/>
  <c r="B362" i="14"/>
  <c r="C362" i="14" l="1"/>
  <c r="B363" i="14"/>
  <c r="C363" i="14" l="1"/>
  <c r="C364" i="14" l="1"/>
  <c r="C365" i="14" l="1"/>
  <c r="B366" i="14"/>
  <c r="B367" i="14" l="1"/>
  <c r="C366" i="14"/>
  <c r="B368" i="14" l="1"/>
  <c r="C367" i="14"/>
  <c r="B369" i="14" l="1"/>
  <c r="C368" i="14"/>
  <c r="B370" i="14" l="1"/>
  <c r="C369" i="14"/>
  <c r="B371" i="14" l="1"/>
  <c r="C370" i="14"/>
  <c r="B372" i="14" l="1"/>
  <c r="C371" i="14"/>
  <c r="B373" i="14" l="1"/>
  <c r="C372" i="14"/>
  <c r="C373" i="14" l="1"/>
  <c r="B375" i="14" l="1"/>
  <c r="C374" i="14"/>
  <c r="C375" i="14" l="1"/>
  <c r="B380" i="14"/>
  <c r="C380" i="14" l="1"/>
  <c r="B381" i="14"/>
  <c r="C381" i="14" l="1"/>
  <c r="B382" i="14"/>
  <c r="C382" i="14" l="1"/>
  <c r="B383" i="14"/>
  <c r="C383" i="14" l="1"/>
  <c r="B384" i="14"/>
  <c r="B385" i="14" l="1"/>
  <c r="C384" i="14"/>
  <c r="C385" i="14" l="1"/>
  <c r="B386" i="14"/>
  <c r="C386" i="14" l="1"/>
  <c r="C387" i="14" l="1"/>
  <c r="B388" i="14"/>
  <c r="B389" i="14" l="1"/>
  <c r="C388" i="14"/>
  <c r="B390" i="14" l="1"/>
  <c r="C389" i="14"/>
  <c r="B391" i="14" l="1"/>
  <c r="C390" i="14"/>
  <c r="B392" i="14" l="1"/>
  <c r="C391" i="14"/>
  <c r="C392" i="14" l="1"/>
  <c r="B393" i="14"/>
  <c r="C393" i="14" l="1"/>
  <c r="B394" i="14"/>
  <c r="B395" i="14" l="1"/>
  <c r="C394" i="14"/>
  <c r="C395" i="14" l="1"/>
  <c r="B396" i="14"/>
  <c r="B397" i="14" l="1"/>
  <c r="C396" i="14"/>
  <c r="C397" i="14" l="1"/>
  <c r="B398" i="14"/>
  <c r="C398" i="14" l="1"/>
  <c r="B399" i="14"/>
  <c r="B400" i="14" l="1"/>
  <c r="C399" i="14"/>
  <c r="C400" i="14" l="1"/>
  <c r="B401" i="14"/>
  <c r="B402" i="14" l="1"/>
  <c r="C401" i="14"/>
  <c r="C402" i="14" l="1"/>
  <c r="B403" i="14"/>
  <c r="B404" i="14" l="1"/>
  <c r="C403" i="14"/>
  <c r="B405" i="14" l="1"/>
  <c r="C404" i="14"/>
  <c r="B406" i="14" l="1"/>
  <c r="C405" i="14"/>
  <c r="C406" i="14" l="1"/>
  <c r="B407" i="14"/>
  <c r="C407" i="14" l="1"/>
  <c r="B408" i="14"/>
  <c r="C408" i="14" l="1"/>
  <c r="B409" i="14"/>
  <c r="B414" i="14" s="1"/>
  <c r="C414" i="14" l="1"/>
  <c r="B415" i="14"/>
  <c r="B410" i="14"/>
  <c r="C410" i="14" s="1"/>
  <c r="C409" i="14"/>
  <c r="C415" i="14" l="1"/>
  <c r="B416" i="14"/>
  <c r="C416" i="14" l="1"/>
  <c r="B417" i="14"/>
  <c r="C417" i="14" l="1"/>
  <c r="B418" i="14"/>
  <c r="B419" i="14" l="1"/>
  <c r="C418" i="14"/>
  <c r="C419" i="14" l="1"/>
  <c r="B420" i="14"/>
  <c r="C420" i="14" l="1"/>
  <c r="B421" i="14"/>
  <c r="C421" i="14" l="1"/>
  <c r="B422" i="14"/>
  <c r="C422" i="14" l="1"/>
  <c r="B423" i="14"/>
  <c r="C423" i="14" l="1"/>
  <c r="B424" i="14"/>
  <c r="C424" i="14" l="1"/>
  <c r="B425" i="14"/>
  <c r="C425" i="14" l="1"/>
  <c r="B426" i="14"/>
  <c r="C426" i="14" l="1"/>
  <c r="B427" i="14"/>
  <c r="C427" i="14" l="1"/>
  <c r="B428" i="14"/>
  <c r="B429" i="14" l="1"/>
  <c r="C428" i="14"/>
  <c r="C429" i="14" l="1"/>
  <c r="B430" i="14"/>
  <c r="C430" i="14" l="1"/>
  <c r="B431" i="14"/>
  <c r="C431" i="14" l="1"/>
  <c r="B432" i="14"/>
  <c r="C432" i="14" l="1"/>
  <c r="B433" i="14"/>
  <c r="C433" i="14" l="1"/>
  <c r="B434" i="14"/>
  <c r="C434" i="14" l="1"/>
  <c r="B435" i="14"/>
  <c r="C435" i="14" l="1"/>
  <c r="B436" i="14"/>
  <c r="C436" i="14" l="1"/>
  <c r="B437" i="14"/>
  <c r="C437" i="14" l="1"/>
  <c r="B438" i="14"/>
  <c r="C438" i="14" l="1"/>
  <c r="B439" i="14"/>
  <c r="C439" i="14" l="1"/>
  <c r="B440" i="14"/>
  <c r="C440" i="14" l="1"/>
  <c r="B441" i="14"/>
  <c r="C441" i="14" l="1"/>
  <c r="B442" i="14"/>
  <c r="C442" i="14" l="1"/>
  <c r="B443" i="14"/>
  <c r="C443" i="14" s="1"/>
</calcChain>
</file>

<file path=xl/sharedStrings.xml><?xml version="1.0" encoding="utf-8"?>
<sst xmlns="http://schemas.openxmlformats.org/spreadsheetml/2006/main" count="114" uniqueCount="40">
  <si>
    <t>Amount</t>
  </si>
  <si>
    <t>Monthy Expenses</t>
  </si>
  <si>
    <t>Rent</t>
  </si>
  <si>
    <t>Car</t>
  </si>
  <si>
    <t>Weekly Income</t>
  </si>
  <si>
    <t>Mom Rent</t>
  </si>
  <si>
    <t>AT&amp;T</t>
  </si>
  <si>
    <t>GA Power</t>
  </si>
  <si>
    <t>Subscriptions</t>
  </si>
  <si>
    <t>Amazon Prime</t>
  </si>
  <si>
    <t>Audible</t>
  </si>
  <si>
    <t>Crunchyroll</t>
  </si>
  <si>
    <t>Netflix</t>
  </si>
  <si>
    <t>Spotify</t>
  </si>
  <si>
    <t>PAY-LM</t>
  </si>
  <si>
    <t>Monthly Expenses</t>
  </si>
  <si>
    <t>TOTAL</t>
  </si>
  <si>
    <t>Miscellaneous</t>
  </si>
  <si>
    <t>Groceries</t>
  </si>
  <si>
    <t>Car Insurance</t>
  </si>
  <si>
    <t>Annual Expenses</t>
  </si>
  <si>
    <t>Phone Bill</t>
  </si>
  <si>
    <t>Rocket Money</t>
  </si>
  <si>
    <t>YT Premium</t>
  </si>
  <si>
    <t>Extra:</t>
  </si>
  <si>
    <t>Savings</t>
  </si>
  <si>
    <t>Bill</t>
  </si>
  <si>
    <t>DayOfMonth</t>
  </si>
  <si>
    <t>DayOfYear</t>
  </si>
  <si>
    <t>Subscriptions (Deactivated)</t>
  </si>
  <si>
    <t>None</t>
  </si>
  <si>
    <t>Credit Card Expenses</t>
  </si>
  <si>
    <t>NFCU</t>
  </si>
  <si>
    <t>Capital One</t>
  </si>
  <si>
    <t>-</t>
  </si>
  <si>
    <t>Chase</t>
  </si>
  <si>
    <t>Credit Card</t>
  </si>
  <si>
    <t>Month</t>
  </si>
  <si>
    <t>Little4Much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</si>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</sst>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m/d;@"/>
    <numFmt numFmtId="166" formatCode="m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C99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1" applyFont="1"/>
    <xf numFmtId="44" fontId="0" fillId="0" borderId="1" xfId="1" applyFont="1" applyBorder="1"/>
    <xf numFmtId="44" fontId="0" fillId="0" borderId="0" xfId="0" applyNumberFormat="1"/>
    <xf numFmtId="165" fontId="0" fillId="2" borderId="1" xfId="0" applyNumberFormat="1" applyFill="1" applyBorder="1"/>
    <xf numFmtId="0" fontId="0" fillId="0" borderId="0" xfId="1" applyNumberFormat="1" applyFont="1"/>
    <xf numFmtId="44" fontId="0" fillId="0" borderId="0" xfId="1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" fontId="0" fillId="0" borderId="0" xfId="1" applyNumberFormat="1" applyFont="1"/>
    <xf numFmtId="0" fontId="0" fillId="0" borderId="0" xfId="0" applyAlignment="1">
      <alignment vertical="center"/>
    </xf>
    <xf numFmtId="16" fontId="0" fillId="0" borderId="0" xfId="0" applyNumberFormat="1"/>
    <xf numFmtId="0" fontId="0" fillId="0" borderId="0" xfId="1" applyNumberFormat="1" applyFont="1" applyAlignment="1">
      <alignment horizontal="center"/>
    </xf>
    <xf numFmtId="0" fontId="4" fillId="5" borderId="3" xfId="0" applyFont="1" applyFill="1" applyBorder="1"/>
    <xf numFmtId="44" fontId="4" fillId="5" borderId="4" xfId="1" applyFont="1" applyFill="1" applyBorder="1"/>
    <xf numFmtId="0" fontId="4" fillId="5" borderId="5" xfId="1" applyNumberFormat="1" applyFont="1" applyFill="1" applyBorder="1" applyAlignment="1">
      <alignment horizontal="center"/>
    </xf>
    <xf numFmtId="0" fontId="0" fillId="2" borderId="0" xfId="0" applyFill="1"/>
    <xf numFmtId="44" fontId="0" fillId="8" borderId="6" xfId="1" applyFont="1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4" borderId="0" xfId="0" applyFill="1"/>
    <xf numFmtId="0" fontId="0" fillId="15" borderId="0" xfId="0" applyFill="1"/>
    <xf numFmtId="0" fontId="0" fillId="16" borderId="0" xfId="0" applyFill="1"/>
    <xf numFmtId="0" fontId="0" fillId="16" borderId="7" xfId="0" applyFill="1" applyBorder="1"/>
    <xf numFmtId="44" fontId="0" fillId="17" borderId="8" xfId="1" applyFont="1" applyFill="1" applyBorder="1"/>
    <xf numFmtId="0" fontId="0" fillId="17" borderId="9" xfId="1" applyNumberFormat="1" applyFont="1" applyFill="1" applyBorder="1"/>
    <xf numFmtId="44" fontId="0" fillId="0" borderId="8" xfId="1" applyFont="1" applyBorder="1"/>
    <xf numFmtId="0" fontId="0" fillId="0" borderId="9" xfId="1" applyNumberFormat="1" applyFont="1" applyBorder="1"/>
    <xf numFmtId="0" fontId="2" fillId="0" borderId="0" xfId="0" applyFont="1"/>
    <xf numFmtId="44" fontId="2" fillId="0" borderId="0" xfId="1" applyFont="1" applyBorder="1"/>
    <xf numFmtId="0" fontId="0" fillId="0" borderId="10" xfId="0" applyBorder="1"/>
    <xf numFmtId="44" fontId="0" fillId="0" borderId="10" xfId="1" applyFont="1" applyBorder="1"/>
    <xf numFmtId="0" fontId="0" fillId="0" borderId="10" xfId="1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44" fontId="4" fillId="5" borderId="0" xfId="1" applyFon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7" borderId="0" xfId="0" applyFill="1" applyAlignment="1">
      <alignment horizontal="center" vertical="center"/>
    </xf>
    <xf numFmtId="44" fontId="0" fillId="6" borderId="0" xfId="0" applyNumberFormat="1" applyFill="1" applyAlignment="1">
      <alignment horizontal="center"/>
    </xf>
    <xf numFmtId="44" fontId="0" fillId="3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ill>
        <patternFill patternType="solid">
          <fgColor indexed="64"/>
          <bgColor rgb="FF00B050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FF66CC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colors>
    <mruColors>
      <color rgb="FFCC99FF"/>
      <color rgb="FFFF9999"/>
      <color rgb="FFFF66C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DD7964-6F2B-40EF-839B-62871AA53A89}" name="Table5" displayName="Table5" ref="O2:Q9" totalsRowShown="0" headerRowBorderDxfId="79" tableBorderDxfId="78">
  <autoFilter ref="O2:Q9" xr:uid="{3CDD7964-6F2B-40EF-839B-62871AA53A89}"/>
  <tableColumns count="3">
    <tableColumn id="1" xr3:uid="{2EBFF702-BD26-478F-AE17-6FD8E7133F22}" name="Bill" dataDxfId="77"/>
    <tableColumn id="2" xr3:uid="{15322883-6F59-4242-A433-FA6E1D354B7A}" name="Amount" dataDxfId="76" dataCellStyle="Currency"/>
    <tableColumn id="3" xr3:uid="{4DDEEC4D-3BCD-464A-B635-3EEF2CFA20A0}" name="DayOfYear" dataDxfId="75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18A34-8970-4BA4-BF6B-EFC23582BBC1}" name="Table4" displayName="Table4" ref="E13:G15" totalsRowShown="0" headerRowBorderDxfId="74" tableBorderDxfId="73">
  <autoFilter ref="E13:G15" xr:uid="{A7918A34-8970-4BA4-BF6B-EFC23582BBC1}"/>
  <tableColumns count="3">
    <tableColumn id="1" xr3:uid="{688E581F-29D9-4D3A-8D7D-9414ABE053D7}" name="Bill"/>
    <tableColumn id="2" xr3:uid="{C0660E29-F60E-41C8-9841-7DE7DFA95ECD}" name="Amount" dataDxfId="72" dataCellStyle="Currency"/>
    <tableColumn id="3" xr3:uid="{67EC19DA-4BCF-43DB-83B0-A9ED27DCE921}" name="DayOf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2964E-D9F8-4F04-AC62-E948AEF5F947}" name="Table2" displayName="Table2" ref="E2:G10" totalsRowShown="0">
  <autoFilter ref="E2:G10" xr:uid="{87F2964E-D9F8-4F04-AC62-E948AEF5F947}"/>
  <tableColumns count="3">
    <tableColumn id="1" xr3:uid="{95EFC780-BC5A-42D1-927C-BADF03BA7C94}" name="Bill"/>
    <tableColumn id="2" xr3:uid="{233468C1-8771-492E-A5B2-C638E39DC8F9}" name="Amount" dataDxfId="71" dataCellStyle="Currency"/>
    <tableColumn id="3" xr3:uid="{E594136F-1008-4277-88C6-DB44584D6742}" name="DayOfMonth" dataDxfId="70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CBBEEA-8B2D-49F7-8F5C-AA6204110231}" name="Table3" displayName="Table3" ref="A2:C3" totalsRowShown="0" headerRowBorderDxfId="69" tableBorderDxfId="68">
  <autoFilter ref="A2:C3" xr:uid="{BACBBEEA-8B2D-49F7-8F5C-AA6204110231}"/>
  <tableColumns count="3">
    <tableColumn id="1" xr3:uid="{24FE7B12-09D8-41B2-A571-428BD1EEE803}" name="Bill" dataDxfId="67"/>
    <tableColumn id="2" xr3:uid="{3CE66CB7-2CA6-4BA0-B700-E582716F6F6A}" name="Amount"/>
    <tableColumn id="3" xr3:uid="{817645F9-0061-4C1E-A719-D909644CA4D0}" name="DayOfMonth" dataDxfId="66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9CA6B-FA28-4C64-AE20-759954298C13}" name="Table42" displayName="Table42" ref="J2:M6" totalsRowShown="0" headerRowBorderDxfId="65" tableBorderDxfId="64">
  <autoFilter ref="J2:M6" xr:uid="{4F19CA6B-FA28-4C64-AE20-759954298C13}"/>
  <tableColumns count="4">
    <tableColumn id="1" xr3:uid="{D19FA4B9-9BCE-4820-988A-639B1D8D7B73}" name="Bill"/>
    <tableColumn id="2" xr3:uid="{3AF2053F-3F5A-45E0-8F98-13AA12A1C51C}" name="Amount" dataDxfId="63" dataCellStyle="Currency"/>
    <tableColumn id="4" xr3:uid="{88BE4F98-596B-45E9-AE40-2E832A6B8763}" name="Month" dataDxfId="62" dataCellStyle="Currency"/>
    <tableColumn id="3" xr3:uid="{028B14E1-9934-440B-8CB8-AD73F59B69D1}" name="DayOf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D83FA-223A-4ACF-8B35-C2A46C02F60B}">
  <sheetPr codeName="Sheet3"/>
  <dimension ref="A1:Q18"/>
  <sheetViews>
    <sheetView showGridLines="0" tabSelected="1" topLeftCell="C1" workbookViewId="0">
      <selection activeCell="L4" sqref="L4"/>
    </sheetView>
  </sheetViews>
  <sheetFormatPr defaultRowHeight="14.4" x14ac:dyDescent="0.3"/>
  <cols>
    <col min="1" max="1" width="14" bestFit="1" customWidth="1"/>
    <col min="2" max="2" width="11.77734375" bestFit="1" customWidth="1"/>
    <col min="3" max="3" width="17" bestFit="1" customWidth="1"/>
    <col min="5" max="5" width="10.21875" bestFit="1" customWidth="1"/>
    <col min="6" max="6" width="11.77734375" bestFit="1" customWidth="1"/>
    <col min="7" max="7" width="17" bestFit="1" customWidth="1"/>
    <col min="8" max="8" width="6" bestFit="1" customWidth="1"/>
    <col min="10" max="10" width="12.77734375" bestFit="1" customWidth="1"/>
    <col min="11" max="11" width="11.77734375" bestFit="1" customWidth="1"/>
    <col min="12" max="12" width="10.77734375" bestFit="1" customWidth="1"/>
    <col min="13" max="13" width="17" bestFit="1" customWidth="1"/>
    <col min="14" max="14" width="12.5546875" customWidth="1"/>
    <col min="15" max="15" width="14" bestFit="1" customWidth="1"/>
    <col min="16" max="16" width="11.77734375" bestFit="1" customWidth="1"/>
    <col min="17" max="17" width="15" bestFit="1" customWidth="1"/>
    <col min="18" max="18" width="11.77734375" customWidth="1"/>
    <col min="19" max="19" width="12.5546875" customWidth="1"/>
    <col min="20" max="20" width="11.77734375" bestFit="1" customWidth="1"/>
  </cols>
  <sheetData>
    <row r="1" spans="1:17" x14ac:dyDescent="0.3">
      <c r="A1" s="38" t="s">
        <v>4</v>
      </c>
      <c r="B1" s="38"/>
      <c r="C1" s="38"/>
      <c r="E1" s="38" t="s">
        <v>1</v>
      </c>
      <c r="F1" s="38"/>
      <c r="G1" s="38"/>
      <c r="J1" s="38" t="s">
        <v>31</v>
      </c>
      <c r="K1" s="38"/>
      <c r="L1" s="38"/>
      <c r="M1" s="38"/>
      <c r="O1" s="38" t="s">
        <v>8</v>
      </c>
      <c r="P1" s="38"/>
      <c r="Q1" s="38"/>
    </row>
    <row r="2" spans="1:17" x14ac:dyDescent="0.3">
      <c r="A2" s="13" t="s">
        <v>26</v>
      </c>
      <c r="B2" s="14" t="s">
        <v>0</v>
      </c>
      <c r="C2" s="15" t="s">
        <v>27</v>
      </c>
      <c r="E2" t="s">
        <v>26</v>
      </c>
      <c r="F2" s="1" t="s">
        <v>0</v>
      </c>
      <c r="G2" s="12" t="s">
        <v>27</v>
      </c>
      <c r="J2" s="13" t="s">
        <v>26</v>
      </c>
      <c r="K2" s="14" t="s">
        <v>0</v>
      </c>
      <c r="L2" s="14" t="s">
        <v>37</v>
      </c>
      <c r="M2" s="15" t="s">
        <v>27</v>
      </c>
      <c r="O2" s="13" t="s">
        <v>26</v>
      </c>
      <c r="P2" s="14" t="s">
        <v>0</v>
      </c>
      <c r="Q2" s="15" t="s">
        <v>28</v>
      </c>
    </row>
    <row r="3" spans="1:17" x14ac:dyDescent="0.3">
      <c r="A3" s="18" t="s">
        <v>14</v>
      </c>
      <c r="B3">
        <v>1453</v>
      </c>
      <c r="C3" s="5">
        <v>6</v>
      </c>
      <c r="E3" s="19" t="s">
        <v>2</v>
      </c>
      <c r="F3" s="1">
        <f>1682+12+7+20+12</f>
        <v>1733</v>
      </c>
      <c r="G3" s="12">
        <v>1</v>
      </c>
      <c r="H3" t="s">
        <v>24</v>
      </c>
      <c r="J3" t="s">
        <v>33</v>
      </c>
      <c r="K3" s="1">
        <v>467.61</v>
      </c>
      <c r="L3" s="8">
        <v>12</v>
      </c>
      <c r="M3" s="12">
        <v>7</v>
      </c>
      <c r="O3" s="26" t="s">
        <v>9</v>
      </c>
      <c r="P3" s="1">
        <v>7.48</v>
      </c>
      <c r="Q3" s="5">
        <v>8</v>
      </c>
    </row>
    <row r="4" spans="1:17" x14ac:dyDescent="0.3">
      <c r="E4" s="20" t="s">
        <v>3</v>
      </c>
      <c r="F4" s="1">
        <v>503.35</v>
      </c>
      <c r="G4" s="12">
        <v>2</v>
      </c>
      <c r="H4">
        <v>0</v>
      </c>
      <c r="J4" t="s">
        <v>35</v>
      </c>
      <c r="K4" s="1">
        <v>406</v>
      </c>
      <c r="L4" s="8">
        <v>12</v>
      </c>
      <c r="M4" s="12">
        <v>4</v>
      </c>
      <c r="O4" s="26" t="s">
        <v>23</v>
      </c>
      <c r="P4" s="1">
        <v>22.99</v>
      </c>
      <c r="Q4" s="5">
        <v>9</v>
      </c>
    </row>
    <row r="5" spans="1:17" ht="15" thickBot="1" x14ac:dyDescent="0.35">
      <c r="E5" s="21" t="s">
        <v>5</v>
      </c>
      <c r="F5" s="1">
        <v>850</v>
      </c>
      <c r="G5" s="12">
        <v>20</v>
      </c>
      <c r="J5" s="34" t="s">
        <v>32</v>
      </c>
      <c r="K5" s="35">
        <v>72</v>
      </c>
      <c r="L5" s="8">
        <v>12</v>
      </c>
      <c r="M5" s="36">
        <v>6</v>
      </c>
      <c r="O5" s="26" t="s">
        <v>12</v>
      </c>
      <c r="P5" s="1">
        <v>24.6</v>
      </c>
      <c r="Q5" s="5">
        <v>29</v>
      </c>
    </row>
    <row r="6" spans="1:17" ht="15" thickTop="1" x14ac:dyDescent="0.3">
      <c r="E6" s="22" t="s">
        <v>18</v>
      </c>
      <c r="F6" s="1">
        <f>180+120</f>
        <v>300</v>
      </c>
      <c r="G6" s="12">
        <v>2</v>
      </c>
      <c r="J6" s="32" t="s">
        <v>16</v>
      </c>
      <c r="K6" s="33">
        <f>SUM(K3:K5)</f>
        <v>945.61</v>
      </c>
      <c r="L6" s="37" t="s">
        <v>34</v>
      </c>
      <c r="M6" s="7" t="s">
        <v>34</v>
      </c>
      <c r="O6" s="26" t="s">
        <v>13</v>
      </c>
      <c r="P6" s="1">
        <v>11.99</v>
      </c>
      <c r="Q6" s="5">
        <v>8</v>
      </c>
    </row>
    <row r="7" spans="1:17" x14ac:dyDescent="0.3">
      <c r="B7" s="1"/>
      <c r="C7" s="5"/>
      <c r="E7" s="23" t="s">
        <v>25</v>
      </c>
      <c r="F7" s="1">
        <f>1000</f>
        <v>1000</v>
      </c>
      <c r="G7" s="12">
        <v>28</v>
      </c>
      <c r="O7" s="26" t="s">
        <v>22</v>
      </c>
      <c r="P7" s="1">
        <v>6</v>
      </c>
      <c r="Q7" s="5">
        <v>12</v>
      </c>
    </row>
    <row r="8" spans="1:17" x14ac:dyDescent="0.3">
      <c r="E8" s="24" t="s">
        <v>6</v>
      </c>
      <c r="F8" s="1">
        <v>65</v>
      </c>
      <c r="G8" s="12">
        <v>18</v>
      </c>
      <c r="O8" s="26" t="s">
        <v>38</v>
      </c>
      <c r="P8" s="1">
        <v>150</v>
      </c>
      <c r="Q8" s="5">
        <v>28</v>
      </c>
    </row>
    <row r="9" spans="1:17" x14ac:dyDescent="0.3">
      <c r="E9" s="25" t="s">
        <v>7</v>
      </c>
      <c r="F9" s="1">
        <v>70</v>
      </c>
      <c r="G9" s="12">
        <v>5</v>
      </c>
      <c r="O9" s="26" t="s">
        <v>30</v>
      </c>
      <c r="P9" s="1"/>
      <c r="Q9" s="5"/>
    </row>
    <row r="10" spans="1:17" x14ac:dyDescent="0.3">
      <c r="E10" t="s">
        <v>39</v>
      </c>
      <c r="F10" s="1">
        <f>400</f>
        <v>400</v>
      </c>
      <c r="G10" s="12">
        <v>26</v>
      </c>
      <c r="O10" s="38" t="s">
        <v>29</v>
      </c>
      <c r="P10" s="38"/>
      <c r="Q10" s="38"/>
    </row>
    <row r="11" spans="1:17" x14ac:dyDescent="0.3">
      <c r="O11" s="27" t="s">
        <v>11</v>
      </c>
      <c r="P11" s="28">
        <v>8.5299999999999994</v>
      </c>
      <c r="Q11" s="29">
        <v>27</v>
      </c>
    </row>
    <row r="12" spans="1:17" x14ac:dyDescent="0.3">
      <c r="E12" s="38" t="s">
        <v>20</v>
      </c>
      <c r="F12" s="38"/>
      <c r="G12" s="38"/>
      <c r="O12" s="27" t="s">
        <v>10</v>
      </c>
      <c r="P12" s="30">
        <v>0</v>
      </c>
      <c r="Q12" s="31">
        <v>11</v>
      </c>
    </row>
    <row r="13" spans="1:17" x14ac:dyDescent="0.3">
      <c r="E13" s="13" t="s">
        <v>26</v>
      </c>
      <c r="F13" s="14" t="s">
        <v>0</v>
      </c>
      <c r="G13" s="15" t="s">
        <v>28</v>
      </c>
    </row>
    <row r="14" spans="1:17" x14ac:dyDescent="0.3">
      <c r="E14" t="s">
        <v>19</v>
      </c>
      <c r="F14" s="1">
        <v>1999.1</v>
      </c>
      <c r="G14" s="9">
        <v>45643</v>
      </c>
    </row>
    <row r="15" spans="1:17" x14ac:dyDescent="0.3">
      <c r="E15" t="s">
        <v>21</v>
      </c>
      <c r="F15" s="1">
        <v>300</v>
      </c>
      <c r="G15" s="11">
        <v>45915</v>
      </c>
      <c r="J15" s="11"/>
    </row>
    <row r="16" spans="1:17" x14ac:dyDescent="0.3">
      <c r="J16" s="11"/>
    </row>
    <row r="17" spans="10:10" x14ac:dyDescent="0.3">
      <c r="J17" s="11"/>
    </row>
    <row r="18" spans="10:10" x14ac:dyDescent="0.3">
      <c r="J18" s="11"/>
    </row>
  </sheetData>
  <mergeCells count="6">
    <mergeCell ref="E1:G1"/>
    <mergeCell ref="A1:C1"/>
    <mergeCell ref="O1:Q1"/>
    <mergeCell ref="E12:G12"/>
    <mergeCell ref="O10:Q10"/>
    <mergeCell ref="J1:M1"/>
  </mergeCells>
  <phoneticPr fontId="3" type="noConversion"/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02C7-9EA1-43AF-BF01-F1BDC72F0C37}">
  <dimension ref="A1:AD443"/>
  <sheetViews>
    <sheetView zoomScaleNormal="85" workbookViewId="0">
      <selection activeCell="B6" sqref="B6"/>
    </sheetView>
  </sheetViews>
  <sheetFormatPr defaultRowHeight="14.4" x14ac:dyDescent="0.3"/>
  <cols>
    <col min="1" max="1" width="8.77734375" bestFit="1" customWidth="1"/>
    <col min="2" max="2" width="12.5546875" bestFit="1" customWidth="1"/>
    <col min="4" max="4" width="15.21875" bestFit="1" customWidth="1"/>
    <col min="5" max="5" width="10.5546875" bestFit="1" customWidth="1"/>
    <col min="6" max="7" width="11.21875" bestFit="1" customWidth="1"/>
    <col min="8" max="8" width="10.44140625" bestFit="1" customWidth="1"/>
    <col min="9" max="9" width="8.77734375" bestFit="1" customWidth="1"/>
    <col min="10" max="10" width="9.77734375" bestFit="1" customWidth="1"/>
    <col min="11" max="11" width="9.21875" bestFit="1" customWidth="1"/>
    <col min="12" max="12" width="9.77734375" bestFit="1" customWidth="1"/>
    <col min="13" max="13" width="11.21875" bestFit="1" customWidth="1"/>
    <col min="14" max="14" width="13.77734375" bestFit="1" customWidth="1"/>
    <col min="15" max="15" width="10.5546875" bestFit="1" customWidth="1"/>
    <col min="17" max="17" width="11.77734375" bestFit="1" customWidth="1"/>
    <col min="18" max="18" width="9.77734375" bestFit="1" customWidth="1"/>
    <col min="19" max="19" width="8.77734375" bestFit="1" customWidth="1"/>
    <col min="20" max="20" width="14.21875" bestFit="1" customWidth="1"/>
    <col min="21" max="21" width="8.44140625" bestFit="1" customWidth="1"/>
    <col min="22" max="23" width="8.77734375" bestFit="1" customWidth="1"/>
    <col min="24" max="24" width="13.77734375" bestFit="1" customWidth="1"/>
    <col min="25" max="25" width="11.77734375" bestFit="1" customWidth="1"/>
    <col min="26" max="26" width="13.77734375" bestFit="1" customWidth="1"/>
    <col min="27" max="27" width="11" bestFit="1" customWidth="1"/>
    <col min="29" max="29" width="11" bestFit="1" customWidth="1"/>
    <col min="30" max="30" width="10.44140625" bestFit="1" customWidth="1"/>
  </cols>
  <sheetData>
    <row r="1" spans="1:30" x14ac:dyDescent="0.3">
      <c r="D1" s="40" t="s">
        <v>17</v>
      </c>
      <c r="E1" s="41" t="s">
        <v>15</v>
      </c>
      <c r="F1" s="41"/>
      <c r="G1" s="41"/>
      <c r="H1" s="41"/>
      <c r="I1" s="41"/>
      <c r="J1" s="41"/>
      <c r="K1" s="41"/>
      <c r="L1" s="41"/>
      <c r="M1" s="41"/>
      <c r="N1" s="42" t="str">
        <f>Budget!$E$12</f>
        <v>Annual Expenses</v>
      </c>
      <c r="O1" s="42"/>
      <c r="Q1" s="43" t="s">
        <v>36</v>
      </c>
      <c r="R1" s="43"/>
      <c r="S1" s="43"/>
      <c r="T1" s="41" t="s">
        <v>8</v>
      </c>
      <c r="U1" s="41"/>
      <c r="V1" s="41"/>
      <c r="W1" s="41"/>
      <c r="X1" s="41"/>
      <c r="Y1" s="41"/>
      <c r="Z1" s="41"/>
      <c r="AA1" s="10" t="s">
        <v>16</v>
      </c>
      <c r="AC1" s="6">
        <f>SUMIF(D3:Z32,"&lt;0")</f>
        <v>-6090.06</v>
      </c>
      <c r="AD1" s="6">
        <f>SUM(E3:E32)</f>
        <v>5812</v>
      </c>
    </row>
    <row r="2" spans="1:30" x14ac:dyDescent="0.3">
      <c r="A2" s="39">
        <v>45658</v>
      </c>
      <c r="B2" s="39"/>
      <c r="D2" s="40"/>
      <c r="E2" s="18" t="str">
        <f>Budget!$A$3</f>
        <v>PAY-LM</v>
      </c>
      <c r="F2" t="str">
        <f>Budget!$E$3</f>
        <v>Rent</v>
      </c>
      <c r="G2" t="str">
        <f>Budget!$E$4</f>
        <v>Car</v>
      </c>
      <c r="H2" t="str">
        <f>Budget!$E$5</f>
        <v>Mom Rent</v>
      </c>
      <c r="I2" t="str">
        <f>Budget!$E$8</f>
        <v>AT&amp;T</v>
      </c>
      <c r="J2" t="str">
        <f>Budget!$E$9</f>
        <v>GA Power</v>
      </c>
      <c r="K2" t="str">
        <f>Budget!$E$10</f>
        <v>TH</v>
      </c>
      <c r="L2" t="str">
        <f>Budget!$E$6</f>
        <v>Groceries</v>
      </c>
      <c r="M2" s="16" t="str">
        <f>Budget!$E$7</f>
        <v>Savings</v>
      </c>
      <c r="N2" t="str">
        <f>Budget!$E$14</f>
        <v>Car Insurance</v>
      </c>
      <c r="O2" t="str">
        <f>Budget!$E$15</f>
        <v>Phone Bill</v>
      </c>
      <c r="Q2" t="str">
        <f>Budget!$J$3</f>
        <v>Capital One</v>
      </c>
      <c r="R2" t="str">
        <f>Budget!$J$4</f>
        <v>Chase</v>
      </c>
      <c r="S2" t="str">
        <f>Budget!$J$5</f>
        <v>NFCU</v>
      </c>
      <c r="T2" t="str">
        <f>Budget!$O$3</f>
        <v>Amazon Prime</v>
      </c>
      <c r="U2" t="str">
        <f>Budget!$O$12</f>
        <v>Audible</v>
      </c>
      <c r="V2" t="str">
        <f>Budget!$O$5</f>
        <v>Netflix</v>
      </c>
      <c r="W2" t="str">
        <f>Budget!$O$6</f>
        <v>Spotify</v>
      </c>
      <c r="X2" t="str">
        <f>Budget!$O$7</f>
        <v>Rocket Money</v>
      </c>
      <c r="Y2" t="str">
        <f>Budget!$O$8</f>
        <v>Little4Much</v>
      </c>
      <c r="Z2" t="str">
        <f>Budget!$O$9</f>
        <v>None</v>
      </c>
      <c r="AA2" s="10"/>
      <c r="AC2" s="3">
        <f>AD1+AC1</f>
        <v>-278.0600000000004</v>
      </c>
    </row>
    <row r="3" spans="1:30" x14ac:dyDescent="0.3">
      <c r="A3" s="4">
        <f>A2</f>
        <v>45658</v>
      </c>
      <c r="B3" s="2">
        <v>473.69000000000005</v>
      </c>
      <c r="C3" s="7">
        <v>0</v>
      </c>
      <c r="D3" s="1">
        <v>0</v>
      </c>
      <c r="E3" s="17">
        <f>N("PAY-LM")+IF(WEEKDAY(A3)=Budget!$C$3,Budget!$B$3,0)</f>
        <v>0</v>
      </c>
      <c r="F3" s="17">
        <f>N("Rent")-IF(DAY(A3)=Budget!$G$3,Budget!$F$3,0)</f>
        <v>-1733</v>
      </c>
      <c r="G3" s="17">
        <f>N("Car")-IF(DAY(A3)=Budget!$G$4,Budget!$F$4+Budget!$H$4,0)</f>
        <v>0</v>
      </c>
      <c r="H3" s="17">
        <f>N("Mom Rent")-IF(DAY(A3)=Budget!$G$5,Budget!$F$5,0)</f>
        <v>0</v>
      </c>
      <c r="I3" s="17">
        <f>N("AT&amp;T")-IF(DAY(A3)=Budget!$G$8,Budget!$F$8,0)</f>
        <v>0</v>
      </c>
      <c r="J3" s="17">
        <f>N("GA Power")-IF(DAY(A3)=Budget!$G$9,Budget!$F$9,0)</f>
        <v>0</v>
      </c>
      <c r="K3" s="17">
        <f>N("Haircut")-IF(DAY(A3)=Budget!$G$10,Budget!$F$10,0)</f>
        <v>0</v>
      </c>
      <c r="L3" s="17">
        <f>N("Groceries")-IF(DAY(A3)=Budget!$G$6,Budget!$F$6,0)</f>
        <v>0</v>
      </c>
      <c r="M3" s="17">
        <f>N("Savings")-IF(DAY(A3)=Budget!$G$7,Budget!$F$7,0)</f>
        <v>0</v>
      </c>
      <c r="N3" s="17">
        <f>N("Car Insurance")-COUNTIF(Budget!$G$14,A3)*Budget!$F$14</f>
        <v>0</v>
      </c>
      <c r="O3" s="17">
        <f>N("Phone Bill")-COUNTIF(Budget!$G$15, A3)*Budget!$F$15</f>
        <v>0</v>
      </c>
      <c r="Q3" s="17">
        <f>N("Spotify")-IF(AND(DAY($A3)=Budget!$M$3, MONTH($A3)=Budget!$L$3),Budget!$K$3,0)</f>
        <v>0</v>
      </c>
      <c r="R3" s="17">
        <f>N("Spotify")-IF(AND(DAY($A3)=Budget!$M$4, MONTH($A3)=Budget!$L$4),Budget!$K$4,0)</f>
        <v>0</v>
      </c>
      <c r="S3" s="17">
        <f>N("Spotify")-IF(AND(DAY($A3)=Budget!$M$5, MONTH($A3)=Budget!$L$5),Budget!$K$5,0)</f>
        <v>0</v>
      </c>
      <c r="T3" s="17">
        <f>N("Amazon Prime")-IF(DAY(A3)=Budget!$Q$3,Budget!$P$3,0)</f>
        <v>0</v>
      </c>
      <c r="U3" s="17">
        <f>N("Audible")-IF(DAY(A3)=Budget!$Q$12,Budget!$P$12,0)</f>
        <v>0</v>
      </c>
      <c r="V3" s="17">
        <f>N("Crunchyroll")-IF(DAY(A3)=Budget!$Q$5,Budget!$P$5,0)</f>
        <v>0</v>
      </c>
      <c r="W3" s="17">
        <f>N("HBO Max")-IF(DAY(A3)=Budget!$Q$6,Budget!$P$6,0)</f>
        <v>0</v>
      </c>
      <c r="X3" s="17">
        <f>N("Netflix")-IF(DAY(A3)=Budget!$Q$7,Budget!$P$7,0)</f>
        <v>0</v>
      </c>
      <c r="Y3" s="17">
        <f>N("Spotify")-IF(DAY(A3)=Budget!$Q$8,Budget!$P$8,0)</f>
        <v>0</v>
      </c>
      <c r="Z3" s="17">
        <f>N("Truebill")-IF(DAY(A3)=Budget!$Q$9,Budget!$P$9,0)</f>
        <v>0</v>
      </c>
      <c r="AA3" s="6">
        <f t="shared" ref="AA3:AA32" si="0">SUM(D3:Z3)</f>
        <v>-1733</v>
      </c>
    </row>
    <row r="4" spans="1:30" x14ac:dyDescent="0.3">
      <c r="A4" s="4">
        <f t="shared" ref="A4:A33" si="1">A3+1</f>
        <v>45659</v>
      </c>
      <c r="B4" s="2">
        <f t="shared" ref="B4:B32" si="2">B3+AA4</f>
        <v>-329.65999999999997</v>
      </c>
      <c r="C4" s="7">
        <f t="shared" ref="C4:C32" si="3">IF(B4&gt;B3,2,IF(B4=B3, 1,0))</f>
        <v>0</v>
      </c>
      <c r="D4" s="1">
        <v>0</v>
      </c>
      <c r="E4" s="17">
        <f>N("PAY-LM")+IF(WEEKDAY(A4)=Budget!$C$3,Budget!$B$3,0)</f>
        <v>0</v>
      </c>
      <c r="F4" s="17">
        <f>N("Rent")-IF(DAY(A4)=Budget!$G$3,Budget!$F$3,0)</f>
        <v>0</v>
      </c>
      <c r="G4" s="17">
        <f>N("Car")-IF(DAY(A4)=Budget!$G$4,Budget!$F$4+Budget!$H$4,0)</f>
        <v>-503.35</v>
      </c>
      <c r="H4" s="17">
        <f>N("Mom Rent")-IF(DAY(A4)=Budget!$G$5,Budget!$F$5,0)</f>
        <v>0</v>
      </c>
      <c r="I4" s="17">
        <f>N("AT&amp;T")-IF(DAY(A4)=Budget!$G$8,Budget!$F$8,0)</f>
        <v>0</v>
      </c>
      <c r="J4" s="17">
        <f>N("GA Power")-IF(DAY(A4)=Budget!$G$9,Budget!$F$9,0)</f>
        <v>0</v>
      </c>
      <c r="K4" s="17">
        <f>N("Haircut")-IF(DAY(A4)=Budget!$G$10,Budget!$F$10,0)</f>
        <v>0</v>
      </c>
      <c r="L4" s="17">
        <f>N("Groceries")-IF(DAY(A4)=Budget!$G$6,Budget!$F$6,0)</f>
        <v>-300</v>
      </c>
      <c r="M4" s="17">
        <f>N("Savings")-IF(DAY(A4)=Budget!$G$7,Budget!$F$7,0)</f>
        <v>0</v>
      </c>
      <c r="N4" s="17">
        <f>N("Car Insurance")-COUNTIF(Budget!$G$14,A4)*Budget!$F$14</f>
        <v>0</v>
      </c>
      <c r="O4" s="17">
        <f>N("Phone Bill")-COUNTIF(Budget!$G$15, A4)*Budget!$F$15</f>
        <v>0</v>
      </c>
      <c r="Q4" s="17">
        <f>N("Spotify")-IF(AND(DAY($A4)=Budget!$M$3, MONTH($A4)=Budget!$L$3),Budget!$K$3,0)</f>
        <v>0</v>
      </c>
      <c r="R4" s="17">
        <f>N("Spotify")-IF(AND(DAY($A4)=Budget!$M$4, MONTH($A4)=Budget!$L$4),Budget!$K$4,0)</f>
        <v>0</v>
      </c>
      <c r="S4" s="17">
        <f>N("Spotify")-IF(AND(DAY($A4)=Budget!$M$5, MONTH($A4)=Budget!$L$5),Budget!$K$5,0)</f>
        <v>0</v>
      </c>
      <c r="T4" s="17">
        <f>N("Amazon Prime")-IF(DAY(A4)=Budget!$Q$3,Budget!$P$3,0)</f>
        <v>0</v>
      </c>
      <c r="U4" s="17">
        <f>N("Audible")-IF(DAY(A4)=Budget!$Q$12,Budget!$P$12,0)</f>
        <v>0</v>
      </c>
      <c r="V4" s="17">
        <f>N("Crunchyroll")-IF(DAY(A4)=Budget!$Q$5,Budget!$P$5,0)</f>
        <v>0</v>
      </c>
      <c r="W4" s="17">
        <f>N("HBO Max")-IF(DAY(A4)=Budget!$Q$6,Budget!$P$6,0)</f>
        <v>0</v>
      </c>
      <c r="X4" s="17">
        <f>N("Netflix")-IF(DAY(A4)=Budget!$Q$7,Budget!$P$7,0)</f>
        <v>0</v>
      </c>
      <c r="Y4" s="17">
        <f>N("Spotify")-IF(DAY(A4)=Budget!$Q$8,Budget!$P$8,0)</f>
        <v>0</v>
      </c>
      <c r="Z4" s="17">
        <f>N("Truebill")-IF(DAY(A4)=Budget!$Q$9,Budget!$P$9,0)</f>
        <v>0</v>
      </c>
      <c r="AA4" s="6">
        <f t="shared" si="0"/>
        <v>-803.35</v>
      </c>
    </row>
    <row r="5" spans="1:30" x14ac:dyDescent="0.3">
      <c r="A5" s="4">
        <f t="shared" si="1"/>
        <v>45660</v>
      </c>
      <c r="B5" s="2">
        <f t="shared" si="2"/>
        <v>1123.3400000000001</v>
      </c>
      <c r="C5" s="7">
        <f t="shared" si="3"/>
        <v>2</v>
      </c>
      <c r="D5" s="1">
        <v>0</v>
      </c>
      <c r="E5" s="17">
        <f>N("PAY-LM")+IF(WEEKDAY(A5)=Budget!$C$3,Budget!$B$3,0)</f>
        <v>1453</v>
      </c>
      <c r="F5" s="17">
        <f>N("Rent")-IF(DAY(A5)=Budget!$G$3,Budget!$F$3,0)</f>
        <v>0</v>
      </c>
      <c r="G5" s="17">
        <f>N("Car")-IF(DAY(A5)=Budget!$G$4,Budget!$F$4+Budget!$H$4,0)</f>
        <v>0</v>
      </c>
      <c r="H5" s="17">
        <f>N("Mom Rent")-IF(DAY(A5)=Budget!$G$5,Budget!$F$5,0)</f>
        <v>0</v>
      </c>
      <c r="I5" s="17">
        <f>N("AT&amp;T")-IF(DAY(A5)=Budget!$G$8,Budget!$F$8,0)</f>
        <v>0</v>
      </c>
      <c r="J5" s="17">
        <f>N("GA Power")-IF(DAY(A5)=Budget!$G$9,Budget!$F$9,0)</f>
        <v>0</v>
      </c>
      <c r="K5" s="17">
        <f>N("Haircut")-IF(DAY(A5)=Budget!$G$10,Budget!$F$10,0)</f>
        <v>0</v>
      </c>
      <c r="L5" s="17">
        <f>N("Groceries")-IF(DAY(A5)=Budget!$G$6,Budget!$F$6,0)</f>
        <v>0</v>
      </c>
      <c r="M5" s="17">
        <f>N("Savings")-IF(DAY(A5)=Budget!$G$7,Budget!$F$7,0)</f>
        <v>0</v>
      </c>
      <c r="N5" s="17">
        <f>N("Car Insurance")-COUNTIF(Budget!$G$14,A5)*Budget!$F$14</f>
        <v>0</v>
      </c>
      <c r="O5" s="17">
        <f>N("Phone Bill")-COUNTIF(Budget!$G$15, A5)*Budget!$F$15</f>
        <v>0</v>
      </c>
      <c r="Q5" s="17">
        <f>N("Spotify")-IF(AND(DAY($A5)=Budget!$M$3, MONTH($A5)=Budget!$L$3),Budget!$K$3,0)</f>
        <v>0</v>
      </c>
      <c r="R5" s="17">
        <f>N("Spotify")-IF(AND(DAY($A5)=Budget!$M$4, MONTH($A5)=Budget!$L$4),Budget!$K$4,0)</f>
        <v>0</v>
      </c>
      <c r="S5" s="17">
        <f>N("Spotify")-IF(AND(DAY($A5)=Budget!$M$5, MONTH($A5)=Budget!$L$5),Budget!$K$5,0)</f>
        <v>0</v>
      </c>
      <c r="T5" s="17">
        <f>N("Amazon Prime")-IF(DAY(A5)=Budget!$Q$3,Budget!$P$3,0)</f>
        <v>0</v>
      </c>
      <c r="U5" s="17">
        <f>N("Audible")-IF(DAY(A5)=Budget!$Q$12,Budget!$P$12,0)</f>
        <v>0</v>
      </c>
      <c r="V5" s="17">
        <f>N("Crunchyroll")-IF(DAY(A5)=Budget!$Q$5,Budget!$P$5,0)</f>
        <v>0</v>
      </c>
      <c r="W5" s="17">
        <f>N("HBO Max")-IF(DAY(A5)=Budget!$Q$6,Budget!$P$6,0)</f>
        <v>0</v>
      </c>
      <c r="X5" s="17">
        <f>N("Netflix")-IF(DAY(A5)=Budget!$Q$7,Budget!$P$7,0)</f>
        <v>0</v>
      </c>
      <c r="Y5" s="17">
        <f>N("Spotify")-IF(DAY(A5)=Budget!$Q$8,Budget!$P$8,0)</f>
        <v>0</v>
      </c>
      <c r="Z5" s="17">
        <f>N("Truebill")-IF(DAY(A5)=Budget!$Q$9,Budget!$P$9,0)</f>
        <v>0</v>
      </c>
      <c r="AA5" s="6">
        <f t="shared" si="0"/>
        <v>1453</v>
      </c>
    </row>
    <row r="6" spans="1:30" x14ac:dyDescent="0.3">
      <c r="A6" s="4">
        <f t="shared" si="1"/>
        <v>45661</v>
      </c>
      <c r="B6" s="2">
        <f t="shared" si="2"/>
        <v>686.27000000000021</v>
      </c>
      <c r="C6" s="7">
        <f t="shared" si="3"/>
        <v>0</v>
      </c>
      <c r="D6" s="1">
        <v>0</v>
      </c>
      <c r="E6" s="17">
        <f>N("PAY-LM")+IF(WEEKDAY(A6)=Budget!$C$3,Budget!$B$3,0)</f>
        <v>0</v>
      </c>
      <c r="F6" s="17">
        <f>N("Rent")-IF(DAY(A6)=Budget!$G$3,Budget!$F$3,0)</f>
        <v>0</v>
      </c>
      <c r="G6" s="17">
        <f>N("Car")-IF(DAY(A6)=Budget!$G$4,Budget!$F$4+Budget!$H$4,0)</f>
        <v>0</v>
      </c>
      <c r="H6" s="17">
        <f>N("Mom Rent")-IF(DAY(A6)=Budget!$G$5,Budget!$F$5,0)</f>
        <v>0</v>
      </c>
      <c r="I6" s="17">
        <f>N("AT&amp;T")-IF(DAY(A6)=Budget!$G$8,Budget!$F$8,0)</f>
        <v>0</v>
      </c>
      <c r="J6" s="17">
        <f>N("GA Power")-IF(DAY(A6)=Budget!$G$9,Budget!$F$9,0)</f>
        <v>0</v>
      </c>
      <c r="K6" s="17">
        <f>N("Haircut")-IF(DAY(A6)=Budget!$G$10,Budget!$F$10,0)</f>
        <v>0</v>
      </c>
      <c r="L6" s="17">
        <f>N("Groceries")-IF(DAY(A6)=Budget!$G$6,Budget!$F$6,0)</f>
        <v>0</v>
      </c>
      <c r="M6" s="17">
        <f>N("Savings")-IF(DAY(A6)=Budget!$G$7,Budget!$F$7,0)</f>
        <v>0</v>
      </c>
      <c r="N6" s="17">
        <f>N("Car Insurance")-COUNTIF(Budget!$G$14,A6)*Budget!$F$14</f>
        <v>0</v>
      </c>
      <c r="O6" s="17">
        <f>N("Phone Bill")-COUNTIF(Budget!$G$15, A6)*Budget!$F$15</f>
        <v>0</v>
      </c>
      <c r="Q6" s="17">
        <f>N("Spotify")-IF(AND(DAY($A6)=Budget!$M$3, MONTH($A6)=Budget!$L$3),Budget!$K$3,0)</f>
        <v>0</v>
      </c>
      <c r="R6" s="17">
        <v>-437.07</v>
      </c>
      <c r="S6" s="17">
        <f>N("Spotify")-IF(AND(DAY($A6)=Budget!$M$5, MONTH($A6)=Budget!$L$5),Budget!$K$5,0)</f>
        <v>0</v>
      </c>
      <c r="T6" s="17">
        <f>N("Amazon Prime")-IF(DAY(A6)=Budget!$Q$3,Budget!$P$3,0)</f>
        <v>0</v>
      </c>
      <c r="U6" s="17">
        <f>N("Audible")-IF(DAY(A6)=Budget!$Q$12,Budget!$P$12,0)</f>
        <v>0</v>
      </c>
      <c r="V6" s="17">
        <f>N("Crunchyroll")-IF(DAY(A6)=Budget!$Q$5,Budget!$P$5,0)</f>
        <v>0</v>
      </c>
      <c r="W6" s="17">
        <f>N("HBO Max")-IF(DAY(A6)=Budget!$Q$6,Budget!$P$6,0)</f>
        <v>0</v>
      </c>
      <c r="X6" s="17">
        <f>N("Netflix")-IF(DAY(A6)=Budget!$Q$7,Budget!$P$7,0)</f>
        <v>0</v>
      </c>
      <c r="Y6" s="17">
        <f>N("Spotify")-IF(DAY(A6)=Budget!$Q$8,Budget!$P$8,0)</f>
        <v>0</v>
      </c>
      <c r="Z6" s="17">
        <f>N("Truebill")-IF(DAY(A6)=Budget!$Q$9,Budget!$P$9,0)</f>
        <v>0</v>
      </c>
      <c r="AA6" s="6">
        <f t="shared" si="0"/>
        <v>-437.07</v>
      </c>
    </row>
    <row r="7" spans="1:30" x14ac:dyDescent="0.3">
      <c r="A7" s="4">
        <f t="shared" si="1"/>
        <v>45662</v>
      </c>
      <c r="B7" s="2">
        <f>1519.79</f>
        <v>1519.79</v>
      </c>
      <c r="C7" s="7">
        <f t="shared" si="3"/>
        <v>2</v>
      </c>
      <c r="D7" s="1">
        <v>0</v>
      </c>
      <c r="E7" s="17">
        <f>N("PAY-LM")+IF(WEEKDAY(A7)=Budget!$C$3,Budget!$B$3,0)</f>
        <v>0</v>
      </c>
      <c r="F7" s="17">
        <f>N("Rent")-IF(DAY(A7)=Budget!$G$3,Budget!$F$3,0)</f>
        <v>0</v>
      </c>
      <c r="G7" s="17">
        <f>N("Car")-IF(DAY(A7)=Budget!$G$4,Budget!$F$4+Budget!$H$4,0)</f>
        <v>0</v>
      </c>
      <c r="H7" s="17">
        <f>N("Mom Rent")-IF(DAY(A7)=Budget!$G$5,Budget!$F$5,0)</f>
        <v>0</v>
      </c>
      <c r="I7" s="17">
        <f>N("AT&amp;T")-IF(DAY(A7)=Budget!$G$8,Budget!$F$8,0)</f>
        <v>0</v>
      </c>
      <c r="J7" s="17">
        <f>N("GA Power")-IF(DAY(A7)=Budget!$G$9,Budget!$F$9,0)</f>
        <v>-70</v>
      </c>
      <c r="K7" s="17">
        <f>N("Haircut")-IF(DAY(A7)=Budget!$G$10,Budget!$F$10,0)</f>
        <v>0</v>
      </c>
      <c r="L7" s="17">
        <f>N("Groceries")-IF(DAY(A7)=Budget!$G$6,Budget!$F$6,0)</f>
        <v>0</v>
      </c>
      <c r="M7" s="17">
        <f>N("Savings")-IF(DAY(A7)=Budget!$G$7,Budget!$F$7,0)</f>
        <v>0</v>
      </c>
      <c r="N7" s="17">
        <f>N("Car Insurance")-COUNTIF(Budget!$G$14,A7)*Budget!$F$14</f>
        <v>0</v>
      </c>
      <c r="O7" s="17">
        <f>N("Phone Bill")-COUNTIF(Budget!$G$15, A7)*Budget!$F$15</f>
        <v>0</v>
      </c>
      <c r="Q7" s="17">
        <f>N("Spotify")-IF(AND(DAY($A7)=Budget!$M$3, MONTH($A7)=Budget!$L$3),Budget!$K$3,0)</f>
        <v>0</v>
      </c>
      <c r="R7" s="17">
        <f>N("Spotify")-IF(AND(DAY($A7)=Budget!$M$4, MONTH($A7)=Budget!$L$4),Budget!$K$4,0)</f>
        <v>0</v>
      </c>
      <c r="S7" s="17">
        <f>N("Spotify")-IF(AND(DAY($A7)=Budget!$M$5, MONTH($A7)=Budget!$L$5),Budget!$K$5,0)</f>
        <v>0</v>
      </c>
      <c r="T7" s="17">
        <f>N("Amazon Prime")-IF(DAY(A7)=Budget!$Q$3,Budget!$P$3,0)</f>
        <v>0</v>
      </c>
      <c r="U7" s="17">
        <f>N("Audible")-IF(DAY(A7)=Budget!$Q$12,Budget!$P$12,0)</f>
        <v>0</v>
      </c>
      <c r="V7" s="17">
        <f>N("Crunchyroll")-IF(DAY(A7)=Budget!$Q$5,Budget!$P$5,0)</f>
        <v>0</v>
      </c>
      <c r="W7" s="17">
        <f>N("HBO Max")-IF(DAY(A7)=Budget!$Q$6,Budget!$P$6,0)</f>
        <v>0</v>
      </c>
      <c r="X7" s="17">
        <f>N("Netflix")-IF(DAY(A7)=Budget!$Q$7,Budget!$P$7,0)</f>
        <v>0</v>
      </c>
      <c r="Y7" s="17">
        <f>N("Spotify")-IF(DAY(A7)=Budget!$Q$8,Budget!$P$8,0)</f>
        <v>0</v>
      </c>
      <c r="Z7" s="17">
        <f>N("Truebill")-IF(DAY(A7)=Budget!$Q$9,Budget!$P$9,0)</f>
        <v>0</v>
      </c>
      <c r="AA7" s="6">
        <f t="shared" si="0"/>
        <v>-70</v>
      </c>
      <c r="AC7" s="3"/>
    </row>
    <row r="8" spans="1:30" x14ac:dyDescent="0.3">
      <c r="A8" s="4">
        <f t="shared" si="1"/>
        <v>45663</v>
      </c>
      <c r="B8" s="2">
        <f>1082.72</f>
        <v>1082.72</v>
      </c>
      <c r="C8" s="7">
        <f t="shared" si="3"/>
        <v>0</v>
      </c>
      <c r="D8" s="1">
        <v>0</v>
      </c>
      <c r="E8" s="17">
        <f>N("PAY-LM")+IF(WEEKDAY(A8)=Budget!$C$3,Budget!$B$3,0)</f>
        <v>0</v>
      </c>
      <c r="F8" s="17">
        <f>N("Rent")-IF(DAY(A8)=Budget!$G$3,Budget!$F$3,0)</f>
        <v>0</v>
      </c>
      <c r="G8" s="17">
        <f>N("Car")-IF(DAY(A8)=Budget!$G$4,Budget!$F$4+Budget!$H$4,0)</f>
        <v>0</v>
      </c>
      <c r="H8" s="17">
        <f>N("Mom Rent")-IF(DAY(A8)=Budget!$G$5,Budget!$F$5,0)</f>
        <v>0</v>
      </c>
      <c r="I8" s="17">
        <f>N("AT&amp;T")-IF(DAY(A8)=Budget!$G$8,Budget!$F$8,0)</f>
        <v>0</v>
      </c>
      <c r="J8" s="17">
        <f>N("GA Power")-IF(DAY(A8)=Budget!$G$9,Budget!$F$9,0)</f>
        <v>0</v>
      </c>
      <c r="K8" s="17">
        <f>N("Haircut")-IF(DAY(A8)=Budget!$G$10,Budget!$F$10,0)</f>
        <v>0</v>
      </c>
      <c r="L8" s="17">
        <f>N("Groceries")-IF(DAY(A8)=Budget!$G$6,Budget!$F$6,0)</f>
        <v>0</v>
      </c>
      <c r="M8" s="17">
        <f>N("Savings")-IF(DAY(A8)=Budget!$G$7,Budget!$F$7,0)</f>
        <v>0</v>
      </c>
      <c r="N8" s="17">
        <f>N("Car Insurance")-COUNTIF(Budget!$G$14,A8)*Budget!$F$14</f>
        <v>0</v>
      </c>
      <c r="O8" s="17">
        <f>N("Phone Bill")-COUNTIF(Budget!$G$15, A8)*Budget!$F$15</f>
        <v>0</v>
      </c>
      <c r="Q8" s="17">
        <f>N("Spotify")-IF(AND(DAY($A8)=Budget!$M$3, MONTH($A8)=Budget!$L$3),Budget!$K$3,0)</f>
        <v>0</v>
      </c>
      <c r="R8" s="17">
        <f>N("Spotify")-IF(AND(DAY($A8)=Budget!$M$4, MONTH($A8)=Budget!$L$4),Budget!$K$4,0)</f>
        <v>0</v>
      </c>
      <c r="S8" s="17">
        <v>-49.57</v>
      </c>
      <c r="T8" s="17">
        <f>N("Amazon Prime")-IF(DAY(A8)=Budget!$Q$3,Budget!$P$3,0)</f>
        <v>0</v>
      </c>
      <c r="U8" s="17">
        <f>N("Audible")-IF(DAY(A8)=Budget!$Q$12,Budget!$P$12,0)</f>
        <v>0</v>
      </c>
      <c r="V8" s="17">
        <f>N("Crunchyroll")-IF(DAY(A8)=Budget!$Q$5,Budget!$P$5,0)</f>
        <v>0</v>
      </c>
      <c r="W8" s="17">
        <f>N("HBO Max")-IF(DAY(A8)=Budget!$Q$6,Budget!$P$6,0)</f>
        <v>0</v>
      </c>
      <c r="X8" s="17">
        <f>N("Netflix")-IF(DAY(A8)=Budget!$Q$7,Budget!$P$7,0)</f>
        <v>0</v>
      </c>
      <c r="Y8" s="17">
        <f>N("Spotify")-IF(DAY(A8)=Budget!$Q$8,Budget!$P$8,0)</f>
        <v>0</v>
      </c>
      <c r="Z8" s="17">
        <f>N("Truebill")-IF(DAY(A8)=Budget!$Q$9,Budget!$P$9,0)</f>
        <v>0</v>
      </c>
      <c r="AA8" s="6">
        <f t="shared" si="0"/>
        <v>-49.57</v>
      </c>
    </row>
    <row r="9" spans="1:30" x14ac:dyDescent="0.3">
      <c r="A9" s="4">
        <f t="shared" si="1"/>
        <v>45664</v>
      </c>
      <c r="B9" s="2">
        <f t="shared" si="2"/>
        <v>710.72</v>
      </c>
      <c r="C9" s="7">
        <f t="shared" si="3"/>
        <v>0</v>
      </c>
      <c r="D9" s="1">
        <f>-172-200</f>
        <v>-372</v>
      </c>
      <c r="E9" s="17">
        <f>N("PAY-LM")+IF(WEEKDAY(A9)=Budget!$C$3,Budget!$B$3,0)</f>
        <v>0</v>
      </c>
      <c r="F9" s="17">
        <f>N("Rent")-IF(DAY(A9)=Budget!$G$3,Budget!$F$3,0)</f>
        <v>0</v>
      </c>
      <c r="G9" s="17">
        <f>N("Car")-IF(DAY(A9)=Budget!$G$4,Budget!$F$4+Budget!$H$4,0)</f>
        <v>0</v>
      </c>
      <c r="H9" s="17">
        <f>N("Mom Rent")-IF(DAY(A9)=Budget!$G$5,Budget!$F$5,0)</f>
        <v>0</v>
      </c>
      <c r="I9" s="17">
        <f>N("AT&amp;T")-IF(DAY(A9)=Budget!$G$8,Budget!$F$8,0)</f>
        <v>0</v>
      </c>
      <c r="J9" s="17">
        <f>N("GA Power")-IF(DAY(A9)=Budget!$G$9,Budget!$F$9,0)</f>
        <v>0</v>
      </c>
      <c r="K9" s="17">
        <f>N("Haircut")-IF(DAY(A9)=Budget!$G$10,Budget!$F$10,0)</f>
        <v>0</v>
      </c>
      <c r="L9" s="17">
        <f>N("Groceries")-IF(DAY(A9)=Budget!$G$6,Budget!$F$6,0)</f>
        <v>0</v>
      </c>
      <c r="M9" s="17">
        <f>N("Savings")-IF(DAY(A9)=Budget!$G$7,Budget!$F$7,0)</f>
        <v>0</v>
      </c>
      <c r="N9" s="17">
        <f>N("Car Insurance")-COUNTIF(Budget!$G$14,A9)*Budget!$F$14</f>
        <v>0</v>
      </c>
      <c r="O9" s="17">
        <f>N("Phone Bill")-COUNTIF(Budget!$G$15, A9)*Budget!$F$15</f>
        <v>0</v>
      </c>
      <c r="Q9" s="17">
        <f>N("Spotify")-IF(AND(DAY($A9)=Budget!$M$3, MONTH($A9)=Budget!$L$3),Budget!$K$3,0)</f>
        <v>0</v>
      </c>
      <c r="R9" s="17">
        <f>N("Spotify")-IF(AND(DAY($A9)=Budget!$M$4, MONTH($A9)=Budget!$L$4),Budget!$K$4,0)</f>
        <v>0</v>
      </c>
      <c r="S9" s="17">
        <f>N("Spotify")-IF(AND(DAY($A9)=Budget!$M$5, MONTH($A9)=Budget!$L$5),Budget!$K$5,0)</f>
        <v>0</v>
      </c>
      <c r="T9" s="17">
        <f>N("Amazon Prime")-IF(DAY(A9)=Budget!$Q$3,Budget!$P$3,0)</f>
        <v>0</v>
      </c>
      <c r="U9" s="17">
        <f>N("Audible")-IF(DAY(A9)=Budget!$Q$12,Budget!$P$12,0)</f>
        <v>0</v>
      </c>
      <c r="V9" s="17">
        <f>N("Crunchyroll")-IF(DAY(A9)=Budget!$Q$5,Budget!$P$5,0)</f>
        <v>0</v>
      </c>
      <c r="W9" s="17">
        <f>N("HBO Max")-IF(DAY(A9)=Budget!$Q$6,Budget!$P$6,0)</f>
        <v>0</v>
      </c>
      <c r="X9" s="17">
        <f>N("Netflix")-IF(DAY(A9)=Budget!$Q$7,Budget!$P$7,0)</f>
        <v>0</v>
      </c>
      <c r="Y9" s="17">
        <f>N("Spotify")-IF(DAY(A9)=Budget!$Q$8,Budget!$P$8,0)</f>
        <v>0</v>
      </c>
      <c r="Z9" s="17">
        <f>N("Truebill")-IF(DAY(A9)=Budget!$Q$9,Budget!$P$9,0)</f>
        <v>0</v>
      </c>
      <c r="AA9" s="6">
        <f t="shared" si="0"/>
        <v>-372</v>
      </c>
    </row>
    <row r="10" spans="1:30" x14ac:dyDescent="0.3">
      <c r="A10" s="4">
        <f t="shared" si="1"/>
        <v>45665</v>
      </c>
      <c r="B10" s="2">
        <f t="shared" si="2"/>
        <v>581.25</v>
      </c>
      <c r="C10" s="7">
        <f t="shared" si="3"/>
        <v>0</v>
      </c>
      <c r="D10" s="1">
        <v>-110</v>
      </c>
      <c r="E10" s="17">
        <f>N("PAY-LM")+IF(WEEKDAY(A10)=Budget!$C$3,Budget!$B$3,0)</f>
        <v>0</v>
      </c>
      <c r="F10" s="17">
        <f>N("Rent")-IF(DAY(A10)=Budget!$G$3,Budget!$F$3,0)</f>
        <v>0</v>
      </c>
      <c r="G10" s="17">
        <f>N("Car")-IF(DAY(A10)=Budget!$G$4,Budget!$F$4+Budget!$H$4,0)</f>
        <v>0</v>
      </c>
      <c r="H10" s="17">
        <f>N("Mom Rent")-IF(DAY(A10)=Budget!$G$5,Budget!$F$5,0)</f>
        <v>0</v>
      </c>
      <c r="I10" s="17">
        <f>N("AT&amp;T")-IF(DAY(A10)=Budget!$G$8,Budget!$F$8,0)</f>
        <v>0</v>
      </c>
      <c r="J10" s="17">
        <f>N("GA Power")-IF(DAY(A10)=Budget!$G$9,Budget!$F$9,0)</f>
        <v>0</v>
      </c>
      <c r="K10" s="17">
        <f>N("Haircut")-IF(DAY(A10)=Budget!$G$10,Budget!$F$10,0)</f>
        <v>0</v>
      </c>
      <c r="L10" s="17">
        <f>N("Groceries")-IF(DAY(A10)=Budget!$G$6,Budget!$F$6,0)</f>
        <v>0</v>
      </c>
      <c r="M10" s="17">
        <f>N("Savings")-IF(DAY(A10)=Budget!$G$7,Budget!$F$7,0)</f>
        <v>0</v>
      </c>
      <c r="N10" s="17">
        <f>N("Car Insurance")-COUNTIF(Budget!$G$14,A10)*Budget!$F$14</f>
        <v>0</v>
      </c>
      <c r="O10" s="17">
        <f>N("Phone Bill")-COUNTIF(Budget!$G$15, A10)*Budget!$F$15</f>
        <v>0</v>
      </c>
      <c r="Q10" s="17">
        <f>N("Spotify")-IF(AND(DAY($A10)=Budget!$M$3, MONTH($A10)=Budget!$L$3),Budget!$K$3,0)</f>
        <v>0</v>
      </c>
      <c r="R10" s="17">
        <f>N("Spotify")-IF(AND(DAY($A10)=Budget!$M$4, MONTH($A10)=Budget!$L$4),Budget!$K$4,0)</f>
        <v>0</v>
      </c>
      <c r="S10" s="17">
        <f>N("Spotify")-IF(AND(DAY($A10)=Budget!$M$5, MONTH($A10)=Budget!$L$5),Budget!$K$5,0)</f>
        <v>0</v>
      </c>
      <c r="T10" s="17">
        <f>N("Amazon Prime")-IF(DAY(A10)=Budget!$Q$3,Budget!$P$3,0)</f>
        <v>-7.48</v>
      </c>
      <c r="U10" s="17">
        <f>N("Audible")-IF(DAY(A10)=Budget!$Q$12,Budget!$P$12,0)</f>
        <v>0</v>
      </c>
      <c r="V10" s="17">
        <f>N("Crunchyroll")-IF(DAY(A10)=Budget!$Q$5,Budget!$P$5,0)</f>
        <v>0</v>
      </c>
      <c r="W10" s="17">
        <f>N("HBO Max")-IF(DAY(A10)=Budget!$Q$6,Budget!$P$6,0)</f>
        <v>-11.99</v>
      </c>
      <c r="X10" s="17">
        <f>N("Netflix")-IF(DAY(A10)=Budget!$Q$7,Budget!$P$7,0)</f>
        <v>0</v>
      </c>
      <c r="Y10" s="17">
        <f>N("Spotify")-IF(DAY(A10)=Budget!$Q$8,Budget!$P$8,0)</f>
        <v>0</v>
      </c>
      <c r="Z10" s="17">
        <f>N("Truebill")-IF(DAY(A10)=Budget!$Q$9,Budget!$P$9,0)</f>
        <v>0</v>
      </c>
      <c r="AA10" s="6">
        <f t="shared" si="0"/>
        <v>-129.47</v>
      </c>
    </row>
    <row r="11" spans="1:30" x14ac:dyDescent="0.3">
      <c r="A11" s="4">
        <f t="shared" si="1"/>
        <v>45666</v>
      </c>
      <c r="B11" s="2">
        <f t="shared" si="2"/>
        <v>581.25</v>
      </c>
      <c r="C11" s="7">
        <f t="shared" si="3"/>
        <v>1</v>
      </c>
      <c r="D11" s="1">
        <v>0</v>
      </c>
      <c r="E11" s="17">
        <f>N("PAY-LM")+IF(WEEKDAY(A11)=Budget!$C$3,Budget!$B$3,0)</f>
        <v>0</v>
      </c>
      <c r="F11" s="17">
        <f>N("Rent")-IF(DAY(A11)=Budget!$G$3,Budget!$F$3,0)</f>
        <v>0</v>
      </c>
      <c r="G11" s="17">
        <f>N("Car")-IF(DAY(A11)=Budget!$G$4,Budget!$F$4+Budget!$H$4,0)</f>
        <v>0</v>
      </c>
      <c r="H11" s="17">
        <f>N("Mom Rent")-IF(DAY(A11)=Budget!$G$5,Budget!$F$5,0)</f>
        <v>0</v>
      </c>
      <c r="I11" s="17">
        <f>N("AT&amp;T")-IF(DAY(A11)=Budget!$G$8,Budget!$F$8,0)</f>
        <v>0</v>
      </c>
      <c r="J11" s="17">
        <f>N("GA Power")-IF(DAY(A11)=Budget!$G$9,Budget!$F$9,0)</f>
        <v>0</v>
      </c>
      <c r="K11" s="17">
        <f>N("Haircut")-IF(DAY(A11)=Budget!$G$10,Budget!$F$10,0)</f>
        <v>0</v>
      </c>
      <c r="L11" s="17">
        <f>N("Groceries")-IF(DAY(A11)=Budget!$G$6,Budget!$F$6,0)</f>
        <v>0</v>
      </c>
      <c r="M11" s="17">
        <f>N("Savings")-IF(DAY(A11)=Budget!$G$7,Budget!$F$7,0)</f>
        <v>0</v>
      </c>
      <c r="N11" s="17">
        <f>N("Car Insurance")-COUNTIF(Budget!$G$14,A11)*Budget!$F$14</f>
        <v>0</v>
      </c>
      <c r="O11" s="17">
        <f>N("Phone Bill")-COUNTIF(Budget!$G$15, A11)*Budget!$F$15</f>
        <v>0</v>
      </c>
      <c r="Q11" s="17">
        <f>N("Spotify")-IF(AND(DAY($A11)=Budget!$M$3, MONTH($A11)=Budget!$L$3),Budget!$K$3,0)</f>
        <v>0</v>
      </c>
      <c r="R11" s="17">
        <f>N("Spotify")-IF(AND(DAY($A11)=Budget!$M$4, MONTH($A11)=Budget!$L$4),Budget!$K$4,0)</f>
        <v>0</v>
      </c>
      <c r="S11" s="17">
        <f>N("Spotify")-IF(AND(DAY($A11)=Budget!$M$5, MONTH($A11)=Budget!$L$5),Budget!$K$5,0)</f>
        <v>0</v>
      </c>
      <c r="T11" s="17">
        <f>N("Amazon Prime")-IF(DAY(A11)=Budget!$Q$3,Budget!$P$3,0)</f>
        <v>0</v>
      </c>
      <c r="U11" s="17">
        <f>N("Audible")-IF(DAY(A11)=Budget!$Q$12,Budget!$P$12,0)</f>
        <v>0</v>
      </c>
      <c r="V11" s="17">
        <f>N("Crunchyroll")-IF(DAY(A11)=Budget!$Q$5,Budget!$P$5,0)</f>
        <v>0</v>
      </c>
      <c r="W11" s="17">
        <f>N("HBO Max")-IF(DAY(A11)=Budget!$Q$6,Budget!$P$6,0)</f>
        <v>0</v>
      </c>
      <c r="X11" s="17">
        <f>N("Netflix")-IF(DAY(A11)=Budget!$Q$7,Budget!$P$7,0)</f>
        <v>0</v>
      </c>
      <c r="Y11" s="17">
        <f>N("Spotify")-IF(DAY(A11)=Budget!$Q$8,Budget!$P$8,0)</f>
        <v>0</v>
      </c>
      <c r="Z11" s="17">
        <f>N("Truebill")-IF(DAY(A11)=Budget!$Q$9,Budget!$P$9,0)</f>
        <v>0</v>
      </c>
      <c r="AA11" s="6">
        <f t="shared" si="0"/>
        <v>0</v>
      </c>
    </row>
    <row r="12" spans="1:30" x14ac:dyDescent="0.3">
      <c r="A12" s="4">
        <f t="shared" si="1"/>
        <v>45667</v>
      </c>
      <c r="B12" s="2">
        <f t="shared" si="2"/>
        <v>2034.25</v>
      </c>
      <c r="C12" s="7">
        <f t="shared" si="3"/>
        <v>2</v>
      </c>
      <c r="D12" s="1">
        <v>0</v>
      </c>
      <c r="E12" s="17">
        <f>N("PAY-LM")+IF(WEEKDAY(A12)=Budget!$C$3,Budget!$B$3,0)</f>
        <v>1453</v>
      </c>
      <c r="F12" s="17">
        <f>N("Rent")-IF(DAY(A12)=Budget!$G$3,Budget!$F$3,0)</f>
        <v>0</v>
      </c>
      <c r="G12" s="17">
        <f>N("Car")-IF(DAY(A12)=Budget!$G$4,Budget!$F$4+Budget!$H$4,0)</f>
        <v>0</v>
      </c>
      <c r="H12" s="17">
        <f>N("Mom Rent")-IF(DAY(A12)=Budget!$G$5,Budget!$F$5,0)</f>
        <v>0</v>
      </c>
      <c r="I12" s="17">
        <f>N("AT&amp;T")-IF(DAY(A12)=Budget!$G$8,Budget!$F$8,0)</f>
        <v>0</v>
      </c>
      <c r="J12" s="17">
        <f>N("GA Power")-IF(DAY(A12)=Budget!$G$9,Budget!$F$9,0)</f>
        <v>0</v>
      </c>
      <c r="K12" s="17">
        <f>N("Haircut")-IF(DAY(A12)=Budget!$G$10,Budget!$F$10,0)</f>
        <v>0</v>
      </c>
      <c r="L12" s="17">
        <f>N("Groceries")-IF(DAY(A12)=Budget!$G$6,Budget!$F$6,0)</f>
        <v>0</v>
      </c>
      <c r="M12" s="17">
        <f>N("Savings")-IF(DAY(A12)=Budget!$G$7,Budget!$F$7,0)</f>
        <v>0</v>
      </c>
      <c r="N12" s="17">
        <f>N("Car Insurance")-COUNTIF(Budget!$G$14,A12)*Budget!$F$14</f>
        <v>0</v>
      </c>
      <c r="O12" s="17">
        <f>N("Phone Bill")-COUNTIF(Budget!$G$15, A12)*Budget!$F$15</f>
        <v>0</v>
      </c>
      <c r="Q12" s="17">
        <f>N("Spotify")-IF(AND(DAY($A12)=Budget!$M$3, MONTH($A12)=Budget!$L$3),Budget!$K$3,0)</f>
        <v>0</v>
      </c>
      <c r="R12" s="17">
        <f>N("Spotify")-IF(AND(DAY($A12)=Budget!$M$4, MONTH($A12)=Budget!$L$4),Budget!$K$4,0)</f>
        <v>0</v>
      </c>
      <c r="S12" s="17">
        <f>N("Spotify")-IF(AND(DAY($A12)=Budget!$M$5, MONTH($A12)=Budget!$L$5),Budget!$K$5,0)</f>
        <v>0</v>
      </c>
      <c r="T12" s="17">
        <f>N("Amazon Prime")-IF(DAY(A12)=Budget!$Q$3,Budget!$P$3,0)</f>
        <v>0</v>
      </c>
      <c r="U12" s="17">
        <f>N("Audible")-IF(DAY(A12)=Budget!$Q$12,Budget!$P$12,0)</f>
        <v>0</v>
      </c>
      <c r="V12" s="17">
        <f>N("Crunchyroll")-IF(DAY(A12)=Budget!$Q$5,Budget!$P$5,0)</f>
        <v>0</v>
      </c>
      <c r="W12" s="17">
        <f>N("HBO Max")-IF(DAY(A12)=Budget!$Q$6,Budget!$P$6,0)</f>
        <v>0</v>
      </c>
      <c r="X12" s="17">
        <f>N("Netflix")-IF(DAY(A12)=Budget!$Q$7,Budget!$P$7,0)</f>
        <v>0</v>
      </c>
      <c r="Y12" s="17">
        <f>N("Spotify")-IF(DAY(A12)=Budget!$Q$8,Budget!$P$8,0)</f>
        <v>0</v>
      </c>
      <c r="Z12" s="17">
        <f>N("Truebill")-IF(DAY(A12)=Budget!$Q$9,Budget!$P$9,0)</f>
        <v>0</v>
      </c>
      <c r="AA12" s="6">
        <f t="shared" si="0"/>
        <v>1453</v>
      </c>
    </row>
    <row r="13" spans="1:30" x14ac:dyDescent="0.3">
      <c r="A13" s="4">
        <f t="shared" si="1"/>
        <v>45668</v>
      </c>
      <c r="B13" s="2">
        <f t="shared" si="2"/>
        <v>2034.25</v>
      </c>
      <c r="C13" s="7">
        <f t="shared" si="3"/>
        <v>1</v>
      </c>
      <c r="D13" s="1">
        <v>0</v>
      </c>
      <c r="E13" s="17">
        <f>N("PAY-LM")+IF(WEEKDAY(A13)=Budget!$C$3,Budget!$B$3,0)</f>
        <v>0</v>
      </c>
      <c r="F13" s="17">
        <f>N("Rent")-IF(DAY(A13)=Budget!$G$3,Budget!$F$3,0)</f>
        <v>0</v>
      </c>
      <c r="G13" s="17">
        <f>N("Car")-IF(DAY(A13)=Budget!$G$4,Budget!$F$4+Budget!$H$4,0)</f>
        <v>0</v>
      </c>
      <c r="H13" s="17">
        <f>N("Mom Rent")-IF(DAY(A13)=Budget!$G$5,Budget!$F$5,0)</f>
        <v>0</v>
      </c>
      <c r="I13" s="17">
        <f>N("AT&amp;T")-IF(DAY(A13)=Budget!$G$8,Budget!$F$8,0)</f>
        <v>0</v>
      </c>
      <c r="J13" s="17">
        <f>N("GA Power")-IF(DAY(A13)=Budget!$G$9,Budget!$F$9,0)</f>
        <v>0</v>
      </c>
      <c r="K13" s="17">
        <f>N("Haircut")-IF(DAY(A13)=Budget!$G$10,Budget!$F$10,0)</f>
        <v>0</v>
      </c>
      <c r="L13" s="17">
        <f>N("Groceries")-IF(DAY(A13)=Budget!$G$6,Budget!$F$6,0)</f>
        <v>0</v>
      </c>
      <c r="M13" s="17">
        <f>N("Savings")-IF(DAY(A13)=Budget!$G$7,Budget!$F$7,0)</f>
        <v>0</v>
      </c>
      <c r="N13" s="17">
        <f>N("Car Insurance")-COUNTIF(Budget!$G$14,A13)*Budget!$F$14</f>
        <v>0</v>
      </c>
      <c r="O13" s="17">
        <f>N("Phone Bill")-COUNTIF(Budget!$G$15, A13)*Budget!$F$15</f>
        <v>0</v>
      </c>
      <c r="Q13" s="17">
        <f>N("Spotify")-IF(AND(DAY($A13)=Budget!$M$3, MONTH($A13)=Budget!$L$3),Budget!$K$3,0)</f>
        <v>0</v>
      </c>
      <c r="R13" s="17">
        <f>N("Spotify")-IF(AND(DAY($A13)=Budget!$M$4, MONTH($A13)=Budget!$L$4),Budget!$K$4,0)</f>
        <v>0</v>
      </c>
      <c r="S13" s="17">
        <f>N("Spotify")-IF(AND(DAY($A13)=Budget!$M$5, MONTH($A13)=Budget!$L$5),Budget!$K$5,0)</f>
        <v>0</v>
      </c>
      <c r="T13" s="17">
        <f>N("Amazon Prime")-IF(DAY(A13)=Budget!$Q$3,Budget!$P$3,0)</f>
        <v>0</v>
      </c>
      <c r="U13" s="17">
        <f>N("Audible")-IF(DAY(A13)=Budget!$Q$12,Budget!$P$12,0)</f>
        <v>0</v>
      </c>
      <c r="V13" s="17">
        <f>N("Crunchyroll")-IF(DAY(A13)=Budget!$Q$5,Budget!$P$5,0)</f>
        <v>0</v>
      </c>
      <c r="W13" s="17">
        <f>N("HBO Max")-IF(DAY(A13)=Budget!$Q$6,Budget!$P$6,0)</f>
        <v>0</v>
      </c>
      <c r="X13" s="17">
        <f>N("Netflix")-IF(DAY(A13)=Budget!$Q$7,Budget!$P$7,0)</f>
        <v>0</v>
      </c>
      <c r="Y13" s="17">
        <f>N("Spotify")-IF(DAY(A13)=Budget!$Q$8,Budget!$P$8,0)</f>
        <v>0</v>
      </c>
      <c r="Z13" s="17">
        <f>N("Truebill")-IF(DAY(A13)=Budget!$Q$9,Budget!$P$9,0)</f>
        <v>0</v>
      </c>
      <c r="AA13" s="6">
        <f t="shared" si="0"/>
        <v>0</v>
      </c>
    </row>
    <row r="14" spans="1:30" x14ac:dyDescent="0.3">
      <c r="A14" s="4">
        <f t="shared" si="1"/>
        <v>45669</v>
      </c>
      <c r="B14" s="2">
        <f t="shared" si="2"/>
        <v>2028.25</v>
      </c>
      <c r="C14" s="7">
        <f t="shared" si="3"/>
        <v>0</v>
      </c>
      <c r="D14" s="1">
        <v>0</v>
      </c>
      <c r="E14" s="17">
        <f>N("PAY-LM")+IF(WEEKDAY(A14)=Budget!$C$3,Budget!$B$3,0)</f>
        <v>0</v>
      </c>
      <c r="F14" s="17">
        <f>N("Rent")-IF(DAY(A14)=Budget!$G$3,Budget!$F$3,0)</f>
        <v>0</v>
      </c>
      <c r="G14" s="17">
        <f>N("Car")-IF(DAY(A14)=Budget!$G$4,Budget!$F$4+Budget!$H$4,0)</f>
        <v>0</v>
      </c>
      <c r="H14" s="17">
        <f>N("Mom Rent")-IF(DAY(A14)=Budget!$G$5,Budget!$F$5,0)</f>
        <v>0</v>
      </c>
      <c r="I14" s="17">
        <f>N("AT&amp;T")-IF(DAY(A14)=Budget!$G$8,Budget!$F$8,0)</f>
        <v>0</v>
      </c>
      <c r="J14" s="17">
        <f>N("GA Power")-IF(DAY(A14)=Budget!$G$9,Budget!$F$9,0)</f>
        <v>0</v>
      </c>
      <c r="K14" s="17">
        <f>N("Haircut")-IF(DAY(A14)=Budget!$G$10,Budget!$F$10,0)</f>
        <v>0</v>
      </c>
      <c r="L14" s="17">
        <f>N("Groceries")-IF(DAY(A14)=Budget!$G$6,Budget!$F$6,0)</f>
        <v>0</v>
      </c>
      <c r="M14" s="17">
        <f>N("Savings")-IF(DAY(A14)=Budget!$G$7,Budget!$F$7,0)</f>
        <v>0</v>
      </c>
      <c r="N14" s="17">
        <f>N("Car Insurance")-COUNTIF(Budget!$G$14,A14)*Budget!$F$14</f>
        <v>0</v>
      </c>
      <c r="O14" s="17">
        <f>N("Phone Bill")-COUNTIF(Budget!$G$15, A14)*Budget!$F$15</f>
        <v>0</v>
      </c>
      <c r="Q14" s="17">
        <f>N("Spotify")-IF(AND(DAY($A14)=Budget!$M$3, MONTH($A14)=Budget!$L$3),Budget!$K$3,0)</f>
        <v>0</v>
      </c>
      <c r="R14" s="17">
        <f>N("Spotify")-IF(AND(DAY($A14)=Budget!$M$4, MONTH($A14)=Budget!$L$4),Budget!$K$4,0)</f>
        <v>0</v>
      </c>
      <c r="S14" s="17">
        <f>N("Spotify")-IF(AND(DAY($A14)=Budget!$M$5, MONTH($A14)=Budget!$L$5),Budget!$K$5,0)</f>
        <v>0</v>
      </c>
      <c r="T14" s="17">
        <f>N("Amazon Prime")-IF(DAY(A14)=Budget!$Q$3,Budget!$P$3,0)</f>
        <v>0</v>
      </c>
      <c r="U14" s="17">
        <f>N("Audible")-IF(DAY(A14)=Budget!$Q$12,Budget!$P$12,0)</f>
        <v>0</v>
      </c>
      <c r="V14" s="17">
        <f>N("Crunchyroll")-IF(DAY(A14)=Budget!$Q$5,Budget!$P$5,0)</f>
        <v>0</v>
      </c>
      <c r="W14" s="17">
        <f>N("HBO Max")-IF(DAY(A14)=Budget!$Q$6,Budget!$P$6,0)</f>
        <v>0</v>
      </c>
      <c r="X14" s="17">
        <f>N("Netflix")-IF(DAY(A14)=Budget!$Q$7,Budget!$P$7,0)</f>
        <v>-6</v>
      </c>
      <c r="Y14" s="17">
        <f>N("Spotify")-IF(DAY(A14)=Budget!$Q$8,Budget!$P$8,0)</f>
        <v>0</v>
      </c>
      <c r="Z14" s="17">
        <f>N("Truebill")-IF(DAY(A14)=Budget!$Q$9,Budget!$P$9,0)</f>
        <v>0</v>
      </c>
      <c r="AA14" s="6">
        <f t="shared" si="0"/>
        <v>-6</v>
      </c>
    </row>
    <row r="15" spans="1:30" x14ac:dyDescent="0.3">
      <c r="A15" s="4">
        <f t="shared" si="1"/>
        <v>45670</v>
      </c>
      <c r="B15" s="2">
        <f t="shared" si="2"/>
        <v>2028.25</v>
      </c>
      <c r="C15" s="7">
        <f t="shared" si="3"/>
        <v>1</v>
      </c>
      <c r="D15" s="1">
        <v>0</v>
      </c>
      <c r="E15" s="17">
        <f>N("PAY-LM")+IF(WEEKDAY(A15)=Budget!$C$3,Budget!$B$3,0)</f>
        <v>0</v>
      </c>
      <c r="F15" s="17">
        <f>N("Rent")-IF(DAY(A15)=Budget!$G$3,Budget!$F$3,0)</f>
        <v>0</v>
      </c>
      <c r="G15" s="17">
        <f>N("Car")-IF(DAY(A15)=Budget!$G$4,Budget!$F$4+Budget!$H$4,0)</f>
        <v>0</v>
      </c>
      <c r="H15" s="17">
        <f>N("Mom Rent")-IF(DAY(A15)=Budget!$G$5,Budget!$F$5,0)</f>
        <v>0</v>
      </c>
      <c r="I15" s="17">
        <f>N("AT&amp;T")-IF(DAY(A15)=Budget!$G$8,Budget!$F$8,0)</f>
        <v>0</v>
      </c>
      <c r="J15" s="17">
        <f>N("GA Power")-IF(DAY(A15)=Budget!$G$9,Budget!$F$9,0)</f>
        <v>0</v>
      </c>
      <c r="K15" s="17">
        <f>N("Haircut")-IF(DAY(A15)=Budget!$G$10,Budget!$F$10,0)</f>
        <v>0</v>
      </c>
      <c r="L15" s="17">
        <f>N("Groceries")-IF(DAY(A15)=Budget!$G$6,Budget!$F$6,0)</f>
        <v>0</v>
      </c>
      <c r="M15" s="17">
        <f>N("Savings")-IF(DAY(A15)=Budget!$G$7,Budget!$F$7,0)</f>
        <v>0</v>
      </c>
      <c r="N15" s="17">
        <f>N("Car Insurance")-COUNTIF(Budget!$G$14,A15)*Budget!$F$14</f>
        <v>0</v>
      </c>
      <c r="O15" s="17">
        <f>N("Phone Bill")-COUNTIF(Budget!$G$15, A15)*Budget!$F$15</f>
        <v>0</v>
      </c>
      <c r="Q15" s="17">
        <f>N("Spotify")-IF(AND(DAY($A15)=Budget!$M$3, MONTH($A15)=Budget!$L$3),Budget!$K$3,0)</f>
        <v>0</v>
      </c>
      <c r="R15" s="17">
        <f>N("Spotify")-IF(AND(DAY($A15)=Budget!$M$4, MONTH($A15)=Budget!$L$4),Budget!$K$4,0)</f>
        <v>0</v>
      </c>
      <c r="S15" s="17">
        <f>N("Spotify")-IF(AND(DAY($A15)=Budget!$M$5, MONTH($A15)=Budget!$L$5),Budget!$K$5,0)</f>
        <v>0</v>
      </c>
      <c r="T15" s="17">
        <f>N("Amazon Prime")-IF(DAY(A15)=Budget!$Q$3,Budget!$P$3,0)</f>
        <v>0</v>
      </c>
      <c r="U15" s="17">
        <f>N("Audible")-IF(DAY(A15)=Budget!$Q$12,Budget!$P$12,0)</f>
        <v>0</v>
      </c>
      <c r="V15" s="17">
        <f>N("Crunchyroll")-IF(DAY(A15)=Budget!$Q$5,Budget!$P$5,0)</f>
        <v>0</v>
      </c>
      <c r="W15" s="17">
        <f>N("HBO Max")-IF(DAY(A15)=Budget!$Q$6,Budget!$P$6,0)</f>
        <v>0</v>
      </c>
      <c r="X15" s="17">
        <f>N("Netflix")-IF(DAY(A15)=Budget!$Q$7,Budget!$P$7,0)</f>
        <v>0</v>
      </c>
      <c r="Y15" s="17">
        <f>N("Spotify")-IF(DAY(A15)=Budget!$Q$8,Budget!$P$8,0)</f>
        <v>0</v>
      </c>
      <c r="Z15" s="17">
        <f>N("Truebill")-IF(DAY(A15)=Budget!$Q$9,Budget!$P$9,0)</f>
        <v>0</v>
      </c>
      <c r="AA15" s="6">
        <f t="shared" si="0"/>
        <v>0</v>
      </c>
    </row>
    <row r="16" spans="1:30" x14ac:dyDescent="0.3">
      <c r="A16" s="4">
        <f t="shared" si="1"/>
        <v>45671</v>
      </c>
      <c r="B16" s="2">
        <f t="shared" si="2"/>
        <v>2028.25</v>
      </c>
      <c r="C16" s="7">
        <f t="shared" si="3"/>
        <v>1</v>
      </c>
      <c r="D16" s="1">
        <v>0</v>
      </c>
      <c r="E16" s="17">
        <f>N("PAY-LM")+IF(WEEKDAY(A16)=Budget!$C$3,Budget!$B$3,0)</f>
        <v>0</v>
      </c>
      <c r="F16" s="17">
        <f>N("Rent")-IF(DAY(A16)=Budget!$G$3,Budget!$F$3,0)</f>
        <v>0</v>
      </c>
      <c r="G16" s="17">
        <f>N("Car")-IF(DAY(A16)=Budget!$G$4,Budget!$F$4+Budget!$H$4,0)</f>
        <v>0</v>
      </c>
      <c r="H16" s="17">
        <f>N("Mom Rent")-IF(DAY(A16)=Budget!$G$5,Budget!$F$5,0)</f>
        <v>0</v>
      </c>
      <c r="I16" s="17">
        <f>N("AT&amp;T")-IF(DAY(A16)=Budget!$G$8,Budget!$F$8,0)</f>
        <v>0</v>
      </c>
      <c r="J16" s="17">
        <f>N("GA Power")-IF(DAY(A16)=Budget!$G$9,Budget!$F$9,0)</f>
        <v>0</v>
      </c>
      <c r="K16" s="17">
        <f>N("Haircut")-IF(DAY(A16)=Budget!$G$10,Budget!$F$10,0)</f>
        <v>0</v>
      </c>
      <c r="L16" s="17">
        <f>N("Groceries")-IF(DAY(A16)=Budget!$G$6,Budget!$F$6,0)</f>
        <v>0</v>
      </c>
      <c r="M16" s="17">
        <f>N("Savings")-IF(DAY(A16)=Budget!$G$7,Budget!$F$7,0)</f>
        <v>0</v>
      </c>
      <c r="N16" s="17">
        <f>N("Car Insurance")-COUNTIF(Budget!$G$14,A16)*Budget!$F$14</f>
        <v>0</v>
      </c>
      <c r="O16" s="17">
        <f>N("Phone Bill")-COUNTIF(Budget!$G$15, A16)*Budget!$F$15</f>
        <v>0</v>
      </c>
      <c r="Q16" s="17">
        <f>N("Spotify")-IF(AND(DAY($A16)=Budget!$M$3, MONTH($A16)=Budget!$L$3),Budget!$K$3,0)</f>
        <v>0</v>
      </c>
      <c r="R16" s="17">
        <f>N("Spotify")-IF(AND(DAY($A16)=Budget!$M$4, MONTH($A16)=Budget!$L$4),Budget!$K$4,0)</f>
        <v>0</v>
      </c>
      <c r="S16" s="17">
        <f>N("Spotify")-IF(AND(DAY($A16)=Budget!$M$5, MONTH($A16)=Budget!$L$5),Budget!$K$5,0)</f>
        <v>0</v>
      </c>
      <c r="T16" s="17">
        <f>N("Amazon Prime")-IF(DAY(A16)=Budget!$Q$3,Budget!$P$3,0)</f>
        <v>0</v>
      </c>
      <c r="U16" s="17">
        <f>N("Audible")-IF(DAY(A16)=Budget!$Q$12,Budget!$P$12,0)</f>
        <v>0</v>
      </c>
      <c r="V16" s="17">
        <f>N("Crunchyroll")-IF(DAY(A16)=Budget!$Q$5,Budget!$P$5,0)</f>
        <v>0</v>
      </c>
      <c r="W16" s="17">
        <f>N("HBO Max")-IF(DAY(A16)=Budget!$Q$6,Budget!$P$6,0)</f>
        <v>0</v>
      </c>
      <c r="X16" s="17">
        <f>N("Netflix")-IF(DAY(A16)=Budget!$Q$7,Budget!$P$7,0)</f>
        <v>0</v>
      </c>
      <c r="Y16" s="17">
        <f>N("Spotify")-IF(DAY(A16)=Budget!$Q$8,Budget!$P$8,0)</f>
        <v>0</v>
      </c>
      <c r="Z16" s="17">
        <f>N("Truebill")-IF(DAY(A16)=Budget!$Q$9,Budget!$P$9,0)</f>
        <v>0</v>
      </c>
      <c r="AA16" s="6">
        <f t="shared" si="0"/>
        <v>0</v>
      </c>
    </row>
    <row r="17" spans="1:27" x14ac:dyDescent="0.3">
      <c r="A17" s="4">
        <f t="shared" si="1"/>
        <v>45672</v>
      </c>
      <c r="B17" s="2">
        <f t="shared" si="2"/>
        <v>2028.25</v>
      </c>
      <c r="C17" s="7">
        <f t="shared" si="3"/>
        <v>1</v>
      </c>
      <c r="D17" s="1">
        <v>0</v>
      </c>
      <c r="E17" s="17">
        <f>N("PAY-LM")+IF(WEEKDAY(A17)=Budget!$C$3,Budget!$B$3,0)</f>
        <v>0</v>
      </c>
      <c r="F17" s="17">
        <f>N("Rent")-IF(DAY(A17)=Budget!$G$3,Budget!$F$3,0)</f>
        <v>0</v>
      </c>
      <c r="G17" s="17">
        <f>N("Car")-IF(DAY(A17)=Budget!$G$4,Budget!$F$4+Budget!$H$4,0)</f>
        <v>0</v>
      </c>
      <c r="H17" s="17">
        <f>N("Mom Rent")-IF(DAY(A17)=Budget!$G$5,Budget!$F$5,0)</f>
        <v>0</v>
      </c>
      <c r="I17" s="17">
        <f>N("AT&amp;T")-IF(DAY(A17)=Budget!$G$8,Budget!$F$8,0)</f>
        <v>0</v>
      </c>
      <c r="J17" s="17">
        <f>N("GA Power")-IF(DAY(A17)=Budget!$G$9,Budget!$F$9,0)</f>
        <v>0</v>
      </c>
      <c r="K17" s="17">
        <f>N("Haircut")-IF(DAY(A17)=Budget!$G$10,Budget!$F$10,0)</f>
        <v>0</v>
      </c>
      <c r="L17" s="17">
        <f>N("Groceries")-IF(DAY(A17)=Budget!$G$6,Budget!$F$6,0)</f>
        <v>0</v>
      </c>
      <c r="M17" s="17">
        <f>N("Savings")-IF(DAY(A17)=Budget!$G$7,Budget!$F$7,0)</f>
        <v>0</v>
      </c>
      <c r="N17" s="17">
        <f>N("Car Insurance")-COUNTIF(Budget!$G$14,A17)*Budget!$F$14</f>
        <v>0</v>
      </c>
      <c r="O17" s="17">
        <f>N("Phone Bill")-COUNTIF(Budget!$G$15, A17)*Budget!$F$15</f>
        <v>0</v>
      </c>
      <c r="Q17" s="17">
        <f>N("Spotify")-IF(AND(DAY($A17)=Budget!$M$3, MONTH($A17)=Budget!$L$3),Budget!$K$3,0)</f>
        <v>0</v>
      </c>
      <c r="R17" s="17">
        <f>N("Spotify")-IF(AND(DAY($A17)=Budget!$M$4, MONTH($A17)=Budget!$L$4),Budget!$K$4,0)</f>
        <v>0</v>
      </c>
      <c r="S17" s="17">
        <f>N("Spotify")-IF(AND(DAY($A17)=Budget!$M$5, MONTH($A17)=Budget!$L$5),Budget!$K$5,0)</f>
        <v>0</v>
      </c>
      <c r="T17" s="17">
        <f>N("Amazon Prime")-IF(DAY(A17)=Budget!$Q$3,Budget!$P$3,0)</f>
        <v>0</v>
      </c>
      <c r="U17" s="17">
        <f>N("Audible")-IF(DAY(A17)=Budget!$Q$12,Budget!$P$12,0)</f>
        <v>0</v>
      </c>
      <c r="V17" s="17">
        <f>N("Crunchyroll")-IF(DAY(A17)=Budget!$Q$5,Budget!$P$5,0)</f>
        <v>0</v>
      </c>
      <c r="W17" s="17">
        <f>N("HBO Max")-IF(DAY(A17)=Budget!$Q$6,Budget!$P$6,0)</f>
        <v>0</v>
      </c>
      <c r="X17" s="17">
        <f>N("Netflix")-IF(DAY(A17)=Budget!$Q$7,Budget!$P$7,0)</f>
        <v>0</v>
      </c>
      <c r="Y17" s="17">
        <f>N("Spotify")-IF(DAY(A17)=Budget!$Q$8,Budget!$P$8,0)</f>
        <v>0</v>
      </c>
      <c r="Z17" s="17">
        <f>N("Truebill")-IF(DAY(A17)=Budget!$Q$9,Budget!$P$9,0)</f>
        <v>0</v>
      </c>
      <c r="AA17" s="6">
        <f t="shared" si="0"/>
        <v>0</v>
      </c>
    </row>
    <row r="18" spans="1:27" x14ac:dyDescent="0.3">
      <c r="A18" s="4">
        <f t="shared" si="1"/>
        <v>45673</v>
      </c>
      <c r="B18" s="2">
        <f t="shared" si="2"/>
        <v>2028.25</v>
      </c>
      <c r="C18" s="7">
        <f t="shared" si="3"/>
        <v>1</v>
      </c>
      <c r="D18" s="1">
        <v>0</v>
      </c>
      <c r="E18" s="17">
        <f>N("PAY-LM")+IF(WEEKDAY(A18)=Budget!$C$3,Budget!$B$3,0)</f>
        <v>0</v>
      </c>
      <c r="F18" s="17">
        <f>N("Rent")-IF(DAY(A18)=Budget!$G$3,Budget!$F$3,0)</f>
        <v>0</v>
      </c>
      <c r="G18" s="17">
        <f>N("Car")-IF(DAY(A18)=Budget!$G$4,Budget!$F$4+Budget!$H$4,0)</f>
        <v>0</v>
      </c>
      <c r="H18" s="17">
        <f>N("Mom Rent")-IF(DAY(A18)=Budget!$G$5,Budget!$F$5,0)</f>
        <v>0</v>
      </c>
      <c r="I18" s="17">
        <f>N("AT&amp;T")-IF(DAY(A18)=Budget!$G$8,Budget!$F$8,0)</f>
        <v>0</v>
      </c>
      <c r="J18" s="17">
        <f>N("GA Power")-IF(DAY(A18)=Budget!$G$9,Budget!$F$9,0)</f>
        <v>0</v>
      </c>
      <c r="K18" s="17">
        <f>N("Haircut")-IF(DAY(A18)=Budget!$G$10,Budget!$F$10,0)</f>
        <v>0</v>
      </c>
      <c r="L18" s="17">
        <f>N("Groceries")-IF(DAY(A18)=Budget!$G$6,Budget!$F$6,0)</f>
        <v>0</v>
      </c>
      <c r="M18" s="17">
        <f>N("Savings")-IF(DAY(A18)=Budget!$G$7,Budget!$F$7,0)</f>
        <v>0</v>
      </c>
      <c r="N18" s="17">
        <f>N("Car Insurance")-COUNTIF(Budget!$G$14,A18)*Budget!$F$14</f>
        <v>0</v>
      </c>
      <c r="O18" s="17">
        <f>N("Phone Bill")-COUNTIF(Budget!$G$15, A18)*Budget!$F$15</f>
        <v>0</v>
      </c>
      <c r="Q18" s="17">
        <f>N("Spotify")-IF(AND(DAY($A18)=Budget!$M$3, MONTH($A18)=Budget!$L$3),Budget!$K$3,0)</f>
        <v>0</v>
      </c>
      <c r="R18" s="17">
        <f>N("Spotify")-IF(AND(DAY($A18)=Budget!$M$4, MONTH($A18)=Budget!$L$4),Budget!$K$4,0)</f>
        <v>0</v>
      </c>
      <c r="S18" s="17">
        <f>N("Spotify")-IF(AND(DAY($A18)=Budget!$M$5, MONTH($A18)=Budget!$L$5),Budget!$K$5,0)</f>
        <v>0</v>
      </c>
      <c r="T18" s="17">
        <f>N("Amazon Prime")-IF(DAY(A18)=Budget!$Q$3,Budget!$P$3,0)</f>
        <v>0</v>
      </c>
      <c r="U18" s="17">
        <f>N("Audible")-IF(DAY(A18)=Budget!$Q$12,Budget!$P$12,0)</f>
        <v>0</v>
      </c>
      <c r="V18" s="17">
        <f>N("Crunchyroll")-IF(DAY(A18)=Budget!$Q$5,Budget!$P$5,0)</f>
        <v>0</v>
      </c>
      <c r="W18" s="17">
        <f>N("HBO Max")-IF(DAY(A18)=Budget!$Q$6,Budget!$P$6,0)</f>
        <v>0</v>
      </c>
      <c r="X18" s="17">
        <f>N("Netflix")-IF(DAY(A18)=Budget!$Q$7,Budget!$P$7,0)</f>
        <v>0</v>
      </c>
      <c r="Y18" s="17">
        <f>N("Spotify")-IF(DAY(A18)=Budget!$Q$8,Budget!$P$8,0)</f>
        <v>0</v>
      </c>
      <c r="Z18" s="17">
        <f>N("Truebill")-IF(DAY(A18)=Budget!$Q$9,Budget!$P$9,0)</f>
        <v>0</v>
      </c>
      <c r="AA18" s="6">
        <f t="shared" si="0"/>
        <v>0</v>
      </c>
    </row>
    <row r="19" spans="1:27" x14ac:dyDescent="0.3">
      <c r="A19" s="4">
        <f t="shared" si="1"/>
        <v>45674</v>
      </c>
      <c r="B19" s="2">
        <f t="shared" si="2"/>
        <v>3481.25</v>
      </c>
      <c r="C19" s="7">
        <f t="shared" si="3"/>
        <v>2</v>
      </c>
      <c r="D19" s="1">
        <v>0</v>
      </c>
      <c r="E19" s="17">
        <f>N("PAY-LM")+IF(WEEKDAY(A19)=Budget!$C$3,Budget!$B$3,0)</f>
        <v>1453</v>
      </c>
      <c r="F19" s="17">
        <f>N("Rent")-IF(DAY(A19)=Budget!$G$3,Budget!$F$3,0)</f>
        <v>0</v>
      </c>
      <c r="G19" s="17">
        <f>N("Car")-IF(DAY(A19)=Budget!$G$4,Budget!$F$4+Budget!$H$4,0)</f>
        <v>0</v>
      </c>
      <c r="H19" s="17">
        <f>N("Mom Rent")-IF(DAY(A19)=Budget!$G$5,Budget!$F$5,0)</f>
        <v>0</v>
      </c>
      <c r="I19" s="17">
        <f>N("AT&amp;T")-IF(DAY(A19)=Budget!$G$8,Budget!$F$8,0)</f>
        <v>0</v>
      </c>
      <c r="J19" s="17">
        <f>N("GA Power")-IF(DAY(A19)=Budget!$G$9,Budget!$F$9,0)</f>
        <v>0</v>
      </c>
      <c r="K19" s="17">
        <f>N("Haircut")-IF(DAY(A19)=Budget!$G$10,Budget!$F$10,0)</f>
        <v>0</v>
      </c>
      <c r="L19" s="17">
        <f>N("Groceries")-IF(DAY(A19)=Budget!$G$6,Budget!$F$6,0)</f>
        <v>0</v>
      </c>
      <c r="M19" s="17">
        <f>N("Savings")-IF(DAY(A19)=Budget!$G$7,Budget!$F$7,0)</f>
        <v>0</v>
      </c>
      <c r="N19" s="17">
        <f>N("Car Insurance")-COUNTIF(Budget!$G$14,A19)*Budget!$F$14</f>
        <v>0</v>
      </c>
      <c r="O19" s="17">
        <f>N("Phone Bill")-COUNTIF(Budget!$G$15, A19)*Budget!$F$15</f>
        <v>0</v>
      </c>
      <c r="Q19" s="17">
        <f>N("Spotify")-IF(AND(DAY($A19)=Budget!$M$3, MONTH($A19)=Budget!$L$3),Budget!$K$3,0)</f>
        <v>0</v>
      </c>
      <c r="R19" s="17">
        <f>N("Spotify")-IF(AND(DAY($A19)=Budget!$M$4, MONTH($A19)=Budget!$L$4),Budget!$K$4,0)</f>
        <v>0</v>
      </c>
      <c r="S19" s="17">
        <f>N("Spotify")-IF(AND(DAY($A19)=Budget!$M$5, MONTH($A19)=Budget!$L$5),Budget!$K$5,0)</f>
        <v>0</v>
      </c>
      <c r="T19" s="17">
        <f>N("Amazon Prime")-IF(DAY(A19)=Budget!$Q$3,Budget!$P$3,0)</f>
        <v>0</v>
      </c>
      <c r="U19" s="17">
        <f>N("Audible")-IF(DAY(A19)=Budget!$Q$12,Budget!$P$12,0)</f>
        <v>0</v>
      </c>
      <c r="V19" s="17">
        <f>N("Crunchyroll")-IF(DAY(A19)=Budget!$Q$5,Budget!$P$5,0)</f>
        <v>0</v>
      </c>
      <c r="W19" s="17">
        <f>N("HBO Max")-IF(DAY(A19)=Budget!$Q$6,Budget!$P$6,0)</f>
        <v>0</v>
      </c>
      <c r="X19" s="17">
        <f>N("Netflix")-IF(DAY(A19)=Budget!$Q$7,Budget!$P$7,0)</f>
        <v>0</v>
      </c>
      <c r="Y19" s="17">
        <f>N("Spotify")-IF(DAY(A19)=Budget!$Q$8,Budget!$P$8,0)</f>
        <v>0</v>
      </c>
      <c r="Z19" s="17">
        <f>N("Truebill")-IF(DAY(A19)=Budget!$Q$9,Budget!$P$9,0)</f>
        <v>0</v>
      </c>
      <c r="AA19" s="6">
        <f t="shared" si="0"/>
        <v>1453</v>
      </c>
    </row>
    <row r="20" spans="1:27" x14ac:dyDescent="0.3">
      <c r="A20" s="4">
        <f t="shared" si="1"/>
        <v>45675</v>
      </c>
      <c r="B20" s="2">
        <f t="shared" si="2"/>
        <v>3416.25</v>
      </c>
      <c r="C20" s="7">
        <f t="shared" si="3"/>
        <v>0</v>
      </c>
      <c r="D20" s="1">
        <v>0</v>
      </c>
      <c r="E20" s="17">
        <f>N("PAY-LM")+IF(WEEKDAY(A20)=Budget!$C$3,Budget!$B$3,0)</f>
        <v>0</v>
      </c>
      <c r="F20" s="17">
        <f>N("Rent")-IF(DAY(A20)=Budget!$G$3,Budget!$F$3,0)</f>
        <v>0</v>
      </c>
      <c r="G20" s="17">
        <f>N("Car")-IF(DAY(A20)=Budget!$G$4,Budget!$F$4+Budget!$H$4,0)</f>
        <v>0</v>
      </c>
      <c r="H20" s="17">
        <f>N("Mom Rent")-IF(DAY(A20)=Budget!$G$5,Budget!$F$5,0)</f>
        <v>0</v>
      </c>
      <c r="I20" s="17">
        <f>N("AT&amp;T")-IF(DAY(A20)=Budget!$G$8,Budget!$F$8,0)</f>
        <v>-65</v>
      </c>
      <c r="J20" s="17">
        <f>N("GA Power")-IF(DAY(A20)=Budget!$G$9,Budget!$F$9,0)</f>
        <v>0</v>
      </c>
      <c r="K20" s="17">
        <f>N("Haircut")-IF(DAY(A20)=Budget!$G$10,Budget!$F$10,0)</f>
        <v>0</v>
      </c>
      <c r="L20" s="17">
        <f>N("Groceries")-IF(DAY(A20)=Budget!$G$6,Budget!$F$6,0)</f>
        <v>0</v>
      </c>
      <c r="M20" s="17">
        <f>N("Savings")-IF(DAY(A20)=Budget!$G$7,Budget!$F$7,0)</f>
        <v>0</v>
      </c>
      <c r="N20" s="17">
        <f>N("Car Insurance")-COUNTIF(Budget!$G$14,A20)*Budget!$F$14</f>
        <v>0</v>
      </c>
      <c r="O20" s="17">
        <f>N("Phone Bill")-COUNTIF(Budget!$G$15, A20)*Budget!$F$15</f>
        <v>0</v>
      </c>
      <c r="Q20" s="17">
        <f>N("Spotify")-IF(AND(DAY($A20)=Budget!$M$3, MONTH($A20)=Budget!$L$3),Budget!$K$3,0)</f>
        <v>0</v>
      </c>
      <c r="R20" s="17">
        <f>N("Spotify")-IF(AND(DAY($A20)=Budget!$M$4, MONTH($A20)=Budget!$L$4),Budget!$K$4,0)</f>
        <v>0</v>
      </c>
      <c r="S20" s="17">
        <f>N("Spotify")-IF(AND(DAY($A20)=Budget!$M$5, MONTH($A20)=Budget!$L$5),Budget!$K$5,0)</f>
        <v>0</v>
      </c>
      <c r="T20" s="17">
        <f>N("Amazon Prime")-IF(DAY(A20)=Budget!$Q$3,Budget!$P$3,0)</f>
        <v>0</v>
      </c>
      <c r="U20" s="17">
        <f>N("Audible")-IF(DAY(A20)=Budget!$Q$12,Budget!$P$12,0)</f>
        <v>0</v>
      </c>
      <c r="V20" s="17">
        <f>N("Crunchyroll")-IF(DAY(A20)=Budget!$Q$5,Budget!$P$5,0)</f>
        <v>0</v>
      </c>
      <c r="W20" s="17">
        <f>N("HBO Max")-IF(DAY(A20)=Budget!$Q$6,Budget!$P$6,0)</f>
        <v>0</v>
      </c>
      <c r="X20" s="17">
        <f>N("Netflix")-IF(DAY(A20)=Budget!$Q$7,Budget!$P$7,0)</f>
        <v>0</v>
      </c>
      <c r="Y20" s="17">
        <f>N("Spotify")-IF(DAY(A20)=Budget!$Q$8,Budget!$P$8,0)</f>
        <v>0</v>
      </c>
      <c r="Z20" s="17">
        <f>N("Truebill")-IF(DAY(A20)=Budget!$Q$9,Budget!$P$9,0)</f>
        <v>0</v>
      </c>
      <c r="AA20" s="6">
        <f t="shared" si="0"/>
        <v>-65</v>
      </c>
    </row>
    <row r="21" spans="1:27" x14ac:dyDescent="0.3">
      <c r="A21" s="4">
        <f t="shared" si="1"/>
        <v>45676</v>
      </c>
      <c r="B21" s="2">
        <f t="shared" si="2"/>
        <v>3416.25</v>
      </c>
      <c r="C21" s="7">
        <f t="shared" si="3"/>
        <v>1</v>
      </c>
      <c r="D21" s="1">
        <v>0</v>
      </c>
      <c r="E21" s="17">
        <f>N("PAY-LM")+IF(WEEKDAY(A21)=Budget!$C$3,Budget!$B$3,0)</f>
        <v>0</v>
      </c>
      <c r="F21" s="17">
        <f>N("Rent")-IF(DAY(A21)=Budget!$G$3,Budget!$F$3,0)</f>
        <v>0</v>
      </c>
      <c r="G21" s="17">
        <f>N("Car")-IF(DAY(A21)=Budget!$G$4,Budget!$F$4+Budget!$H$4,0)</f>
        <v>0</v>
      </c>
      <c r="H21" s="17">
        <f>N("Mom Rent")-IF(DAY(A21)=Budget!$G$5,Budget!$F$5,0)</f>
        <v>0</v>
      </c>
      <c r="I21" s="17">
        <f>N("AT&amp;T")-IF(DAY(A21)=Budget!$G$8,Budget!$F$8,0)</f>
        <v>0</v>
      </c>
      <c r="J21" s="17">
        <f>N("GA Power")-IF(DAY(A21)=Budget!$G$9,Budget!$F$9,0)</f>
        <v>0</v>
      </c>
      <c r="K21" s="17">
        <f>N("Haircut")-IF(DAY(A21)=Budget!$G$10,Budget!$F$10,0)</f>
        <v>0</v>
      </c>
      <c r="L21" s="17">
        <f>N("Groceries")-IF(DAY(A21)=Budget!$G$6,Budget!$F$6,0)</f>
        <v>0</v>
      </c>
      <c r="M21" s="17">
        <f>N("Savings")-IF(DAY(A21)=Budget!$G$7,Budget!$F$7,0)</f>
        <v>0</v>
      </c>
      <c r="N21" s="17">
        <f>N("Car Insurance")-COUNTIF(Budget!$G$14,A21)*Budget!$F$14</f>
        <v>0</v>
      </c>
      <c r="O21" s="17">
        <f>N("Phone Bill")-COUNTIF(Budget!$G$15, A21)*Budget!$F$15</f>
        <v>0</v>
      </c>
      <c r="Q21" s="17">
        <f>N("Spotify")-IF(AND(DAY($A21)=Budget!$M$3, MONTH($A21)=Budget!$L$3),Budget!$K$3,0)</f>
        <v>0</v>
      </c>
      <c r="R21" s="17">
        <f>N("Spotify")-IF(AND(DAY($A21)=Budget!$M$4, MONTH($A21)=Budget!$L$4),Budget!$K$4,0)</f>
        <v>0</v>
      </c>
      <c r="S21" s="17">
        <f>N("Spotify")-IF(AND(DAY($A21)=Budget!$M$5, MONTH($A21)=Budget!$L$5),Budget!$K$5,0)</f>
        <v>0</v>
      </c>
      <c r="T21" s="17">
        <f>N("Amazon Prime")-IF(DAY(A21)=Budget!$Q$3,Budget!$P$3,0)</f>
        <v>0</v>
      </c>
      <c r="U21" s="17">
        <f>N("Audible")-IF(DAY(A21)=Budget!$Q$12,Budget!$P$12,0)</f>
        <v>0</v>
      </c>
      <c r="V21" s="17">
        <f>N("Crunchyroll")-IF(DAY(A21)=Budget!$Q$5,Budget!$P$5,0)</f>
        <v>0</v>
      </c>
      <c r="W21" s="17">
        <f>N("HBO Max")-IF(DAY(A21)=Budget!$Q$6,Budget!$P$6,0)</f>
        <v>0</v>
      </c>
      <c r="X21" s="17">
        <f>N("Netflix")-IF(DAY(A21)=Budget!$Q$7,Budget!$P$7,0)</f>
        <v>0</v>
      </c>
      <c r="Y21" s="17">
        <f>N("Spotify")-IF(DAY(A21)=Budget!$Q$8,Budget!$P$8,0)</f>
        <v>0</v>
      </c>
      <c r="Z21" s="17">
        <f>N("Truebill")-IF(DAY(A21)=Budget!$Q$9,Budget!$P$9,0)</f>
        <v>0</v>
      </c>
      <c r="AA21" s="6">
        <f t="shared" si="0"/>
        <v>0</v>
      </c>
    </row>
    <row r="22" spans="1:27" x14ac:dyDescent="0.3">
      <c r="A22" s="4">
        <f t="shared" si="1"/>
        <v>45677</v>
      </c>
      <c r="B22" s="2">
        <v>1937.77</v>
      </c>
      <c r="C22" s="7">
        <f t="shared" si="3"/>
        <v>0</v>
      </c>
      <c r="D22" s="1">
        <v>0</v>
      </c>
      <c r="E22" s="17">
        <f>N("PAY-LM")+IF(WEEKDAY(A22)=Budget!$C$3,Budget!$B$3,0)</f>
        <v>0</v>
      </c>
      <c r="F22" s="17">
        <f>N("Rent")-IF(DAY(A22)=Budget!$G$3,Budget!$F$3,0)</f>
        <v>0</v>
      </c>
      <c r="G22" s="17">
        <f>N("Car")-IF(DAY(A22)=Budget!$G$4,Budget!$F$4+Budget!$H$4,0)</f>
        <v>0</v>
      </c>
      <c r="H22" s="17">
        <f>N("Mom Rent")-IF(DAY(A22)=Budget!$G$5,Budget!$F$5,0)</f>
        <v>-850</v>
      </c>
      <c r="I22" s="17">
        <f>N("AT&amp;T")-IF(DAY(A22)=Budget!$G$8,Budget!$F$8,0)</f>
        <v>0</v>
      </c>
      <c r="J22" s="17">
        <f>N("GA Power")-IF(DAY(A22)=Budget!$G$9,Budget!$F$9,0)</f>
        <v>0</v>
      </c>
      <c r="K22" s="17">
        <f>N("Haircut")-IF(DAY(A22)=Budget!$G$10,Budget!$F$10,0)</f>
        <v>0</v>
      </c>
      <c r="L22" s="17">
        <f>N("Groceries")-IF(DAY(A22)=Budget!$G$6,Budget!$F$6,0)</f>
        <v>0</v>
      </c>
      <c r="M22" s="17">
        <f>N("Savings")-IF(DAY(A22)=Budget!$G$7,Budget!$F$7,0)</f>
        <v>0</v>
      </c>
      <c r="N22" s="17">
        <f>N("Car Insurance")-COUNTIF(Budget!$G$14,A22)*Budget!$F$14</f>
        <v>0</v>
      </c>
      <c r="O22" s="17">
        <f>N("Phone Bill")-COUNTIF(Budget!$G$15, A22)*Budget!$F$15</f>
        <v>0</v>
      </c>
      <c r="Q22" s="17">
        <f>N("Spotify")-IF(AND(DAY($A22)=Budget!$M$3, MONTH($A22)=Budget!$L$3),Budget!$K$3,0)</f>
        <v>0</v>
      </c>
      <c r="R22" s="17">
        <f>N("Spotify")-IF(AND(DAY($A22)=Budget!$M$4, MONTH($A22)=Budget!$L$4),Budget!$K$4,0)</f>
        <v>0</v>
      </c>
      <c r="S22" s="17">
        <f>N("Spotify")-IF(AND(DAY($A22)=Budget!$M$5, MONTH($A22)=Budget!$L$5),Budget!$K$5,0)</f>
        <v>0</v>
      </c>
      <c r="T22" s="17">
        <f>N("Amazon Prime")-IF(DAY(A22)=Budget!$Q$3,Budget!$P$3,0)</f>
        <v>0</v>
      </c>
      <c r="U22" s="17">
        <f>N("Audible")-IF(DAY(A22)=Budget!$Q$12,Budget!$P$12,0)</f>
        <v>0</v>
      </c>
      <c r="V22" s="17">
        <f>N("Crunchyroll")-IF(DAY(A22)=Budget!$Q$5,Budget!$P$5,0)</f>
        <v>0</v>
      </c>
      <c r="W22" s="17">
        <f>N("HBO Max")-IF(DAY(A22)=Budget!$Q$6,Budget!$P$6,0)</f>
        <v>0</v>
      </c>
      <c r="X22" s="17">
        <f>N("Netflix")-IF(DAY(A22)=Budget!$Q$7,Budget!$P$7,0)</f>
        <v>0</v>
      </c>
      <c r="Y22" s="17">
        <f>N("Spotify")-IF(DAY(A22)=Budget!$Q$8,Budget!$P$8,0)</f>
        <v>0</v>
      </c>
      <c r="Z22" s="17">
        <f>N("Truebill")-IF(DAY(A22)=Budget!$Q$9,Budget!$P$9,0)</f>
        <v>0</v>
      </c>
      <c r="AA22" s="6">
        <f t="shared" si="0"/>
        <v>-850</v>
      </c>
    </row>
    <row r="23" spans="1:27" x14ac:dyDescent="0.3">
      <c r="A23" s="4">
        <f t="shared" si="1"/>
        <v>45678</v>
      </c>
      <c r="B23" s="2">
        <f t="shared" si="2"/>
        <v>1937.77</v>
      </c>
      <c r="C23" s="7">
        <f t="shared" si="3"/>
        <v>1</v>
      </c>
      <c r="D23" s="1">
        <v>0</v>
      </c>
      <c r="E23" s="17">
        <f>N("PAY-LM")+IF(WEEKDAY(A23)=Budget!$C$3,Budget!$B$3,0)</f>
        <v>0</v>
      </c>
      <c r="F23" s="17">
        <f>N("Rent")-IF(DAY(A23)=Budget!$G$3,Budget!$F$3,0)</f>
        <v>0</v>
      </c>
      <c r="G23" s="17">
        <f>N("Car")-IF(DAY(A23)=Budget!$G$4,Budget!$F$4+Budget!$H$4,0)</f>
        <v>0</v>
      </c>
      <c r="H23" s="17">
        <f>N("Mom Rent")-IF(DAY(A23)=Budget!$G$5,Budget!$F$5,0)</f>
        <v>0</v>
      </c>
      <c r="I23" s="17">
        <f>N("AT&amp;T")-IF(DAY(A23)=Budget!$G$8,Budget!$F$8,0)</f>
        <v>0</v>
      </c>
      <c r="J23" s="17">
        <f>N("GA Power")-IF(DAY(A23)=Budget!$G$9,Budget!$F$9,0)</f>
        <v>0</v>
      </c>
      <c r="K23" s="17">
        <f>N("Haircut")-IF(DAY(A23)=Budget!$G$10,Budget!$F$10,0)</f>
        <v>0</v>
      </c>
      <c r="L23" s="17">
        <f>N("Groceries")-IF(DAY(A23)=Budget!$G$6,Budget!$F$6,0)</f>
        <v>0</v>
      </c>
      <c r="M23" s="17">
        <f>N("Savings")-IF(DAY(A23)=Budget!$G$7,Budget!$F$7,0)</f>
        <v>0</v>
      </c>
      <c r="N23" s="17">
        <f>N("Car Insurance")-COUNTIF(Budget!$G$14,A23)*Budget!$F$14</f>
        <v>0</v>
      </c>
      <c r="O23" s="17">
        <f>N("Phone Bill")-COUNTIF(Budget!$G$15, A23)*Budget!$F$15</f>
        <v>0</v>
      </c>
      <c r="Q23" s="17">
        <f>N("Spotify")-IF(AND(DAY($A23)=Budget!$M$3, MONTH($A23)=Budget!$L$3),Budget!$K$3,0)</f>
        <v>0</v>
      </c>
      <c r="R23" s="17">
        <f>N("Spotify")-IF(AND(DAY($A23)=Budget!$M$4, MONTH($A23)=Budget!$L$4),Budget!$K$4,0)</f>
        <v>0</v>
      </c>
      <c r="S23" s="17">
        <f>N("Spotify")-IF(AND(DAY($A23)=Budget!$M$5, MONTH($A23)=Budget!$L$5),Budget!$K$5,0)</f>
        <v>0</v>
      </c>
      <c r="T23" s="17">
        <f>N("Amazon Prime")-IF(DAY(A23)=Budget!$Q$3,Budget!$P$3,0)</f>
        <v>0</v>
      </c>
      <c r="U23" s="17">
        <f>N("Audible")-IF(DAY(A23)=Budget!$Q$12,Budget!$P$12,0)</f>
        <v>0</v>
      </c>
      <c r="V23" s="17">
        <f>N("Crunchyroll")-IF(DAY(A23)=Budget!$Q$5,Budget!$P$5,0)</f>
        <v>0</v>
      </c>
      <c r="W23" s="17">
        <f>N("HBO Max")-IF(DAY(A23)=Budget!$Q$6,Budget!$P$6,0)</f>
        <v>0</v>
      </c>
      <c r="X23" s="17">
        <f>N("Netflix")-IF(DAY(A23)=Budget!$Q$7,Budget!$P$7,0)</f>
        <v>0</v>
      </c>
      <c r="Y23" s="17">
        <f>N("Spotify")-IF(DAY(A23)=Budget!$Q$8,Budget!$P$8,0)</f>
        <v>0</v>
      </c>
      <c r="Z23" s="17">
        <f>N("Truebill")-IF(DAY(A23)=Budget!$Q$9,Budget!$P$9,0)</f>
        <v>0</v>
      </c>
      <c r="AA23" s="6">
        <f t="shared" si="0"/>
        <v>0</v>
      </c>
    </row>
    <row r="24" spans="1:27" x14ac:dyDescent="0.3">
      <c r="A24" s="4">
        <f t="shared" si="1"/>
        <v>45679</v>
      </c>
      <c r="B24" s="2">
        <f t="shared" si="2"/>
        <v>1937.77</v>
      </c>
      <c r="C24" s="7">
        <f t="shared" si="3"/>
        <v>1</v>
      </c>
      <c r="D24" s="1">
        <v>0</v>
      </c>
      <c r="E24" s="17">
        <f>N("PAY-LM")+IF(WEEKDAY(A24)=Budget!$C$3,Budget!$B$3,0)</f>
        <v>0</v>
      </c>
      <c r="F24" s="17">
        <f>N("Rent")-IF(DAY(A24)=Budget!$G$3,Budget!$F$3,0)</f>
        <v>0</v>
      </c>
      <c r="G24" s="17">
        <f>N("Car")-IF(DAY(A24)=Budget!$G$4,Budget!$F$4+Budget!$H$4,0)</f>
        <v>0</v>
      </c>
      <c r="H24" s="17">
        <f>N("Mom Rent")-IF(DAY(A24)=Budget!$G$5,Budget!$F$5,0)</f>
        <v>0</v>
      </c>
      <c r="I24" s="17">
        <f>N("AT&amp;T")-IF(DAY(A24)=Budget!$G$8,Budget!$F$8,0)</f>
        <v>0</v>
      </c>
      <c r="J24" s="17">
        <f>N("GA Power")-IF(DAY(A24)=Budget!$G$9,Budget!$F$9,0)</f>
        <v>0</v>
      </c>
      <c r="K24" s="17">
        <f>N("Haircut")-IF(DAY(A24)=Budget!$G$10,Budget!$F$10,0)</f>
        <v>0</v>
      </c>
      <c r="L24" s="17">
        <f>N("Groceries")-IF(DAY(A24)=Budget!$G$6,Budget!$F$6,0)</f>
        <v>0</v>
      </c>
      <c r="M24" s="17">
        <f>N("Savings")-IF(DAY(A24)=Budget!$G$7,Budget!$F$7,0)</f>
        <v>0</v>
      </c>
      <c r="N24" s="17">
        <f>N("Car Insurance")-COUNTIF(Budget!$G$14,A24)*Budget!$F$14</f>
        <v>0</v>
      </c>
      <c r="O24" s="17">
        <f>N("Phone Bill")-COUNTIF(Budget!$G$15, A24)*Budget!$F$15</f>
        <v>0</v>
      </c>
      <c r="Q24" s="17">
        <f>N("Spotify")-IF(AND(DAY($A24)=Budget!$M$3, MONTH($A24)=Budget!$L$3),Budget!$K$3,0)</f>
        <v>0</v>
      </c>
      <c r="R24" s="17">
        <f>N("Spotify")-IF(AND(DAY($A24)=Budget!$M$4, MONTH($A24)=Budget!$L$4),Budget!$K$4,0)</f>
        <v>0</v>
      </c>
      <c r="S24" s="17">
        <f>N("Spotify")-IF(AND(DAY($A24)=Budget!$M$5, MONTH($A24)=Budget!$L$5),Budget!$K$5,0)</f>
        <v>0</v>
      </c>
      <c r="T24" s="17">
        <f>N("Amazon Prime")-IF(DAY(A24)=Budget!$Q$3,Budget!$P$3,0)</f>
        <v>0</v>
      </c>
      <c r="U24" s="17">
        <f>N("Audible")-IF(DAY(A24)=Budget!$Q$12,Budget!$P$12,0)</f>
        <v>0</v>
      </c>
      <c r="V24" s="17">
        <f>N("Crunchyroll")-IF(DAY(A24)=Budget!$Q$5,Budget!$P$5,0)</f>
        <v>0</v>
      </c>
      <c r="W24" s="17">
        <f>N("HBO Max")-IF(DAY(A24)=Budget!$Q$6,Budget!$P$6,0)</f>
        <v>0</v>
      </c>
      <c r="X24" s="17">
        <f>N("Netflix")-IF(DAY(A24)=Budget!$Q$7,Budget!$P$7,0)</f>
        <v>0</v>
      </c>
      <c r="Y24" s="17">
        <f>N("Spotify")-IF(DAY(A24)=Budget!$Q$8,Budget!$P$8,0)</f>
        <v>0</v>
      </c>
      <c r="Z24" s="17">
        <f>N("Truebill")-IF(DAY(A24)=Budget!$Q$9,Budget!$P$9,0)</f>
        <v>0</v>
      </c>
      <c r="AA24" s="6">
        <f t="shared" si="0"/>
        <v>0</v>
      </c>
    </row>
    <row r="25" spans="1:27" x14ac:dyDescent="0.3">
      <c r="A25" s="4">
        <f t="shared" si="1"/>
        <v>45680</v>
      </c>
      <c r="B25" s="2">
        <f t="shared" si="2"/>
        <v>1937.77</v>
      </c>
      <c r="C25" s="7">
        <f t="shared" si="3"/>
        <v>1</v>
      </c>
      <c r="D25" s="1">
        <v>0</v>
      </c>
      <c r="E25" s="17">
        <f>N("PAY-LM")+IF(WEEKDAY(A25)=Budget!$C$3,Budget!$B$3,0)</f>
        <v>0</v>
      </c>
      <c r="F25" s="17">
        <f>N("Rent")-IF(DAY(A25)=Budget!$G$3,Budget!$F$3,0)</f>
        <v>0</v>
      </c>
      <c r="G25" s="17">
        <f>N("Car")-IF(DAY(A25)=Budget!$G$4,Budget!$F$4+Budget!$H$4,0)</f>
        <v>0</v>
      </c>
      <c r="H25" s="17">
        <f>N("Mom Rent")-IF(DAY(A25)=Budget!$G$5,Budget!$F$5,0)</f>
        <v>0</v>
      </c>
      <c r="I25" s="17">
        <f>N("AT&amp;T")-IF(DAY(A25)=Budget!$G$8,Budget!$F$8,0)</f>
        <v>0</v>
      </c>
      <c r="J25" s="17">
        <f>N("GA Power")-IF(DAY(A25)=Budget!$G$9,Budget!$F$9,0)</f>
        <v>0</v>
      </c>
      <c r="K25" s="17">
        <f>N("Haircut")-IF(DAY(A25)=Budget!$G$10,Budget!$F$10,0)</f>
        <v>0</v>
      </c>
      <c r="L25" s="17">
        <f>N("Groceries")-IF(DAY(A25)=Budget!$G$6,Budget!$F$6,0)</f>
        <v>0</v>
      </c>
      <c r="M25" s="17">
        <f>N("Savings")-IF(DAY(A25)=Budget!$G$7,Budget!$F$7,0)</f>
        <v>0</v>
      </c>
      <c r="N25" s="17">
        <f>N("Car Insurance")-COUNTIF(Budget!$G$14,A25)*Budget!$F$14</f>
        <v>0</v>
      </c>
      <c r="O25" s="17">
        <f>N("Phone Bill")-COUNTIF(Budget!$G$15, A25)*Budget!$F$15</f>
        <v>0</v>
      </c>
      <c r="Q25" s="17">
        <f>N("Spotify")-IF(AND(DAY($A25)=Budget!$M$3, MONTH($A25)=Budget!$L$3),Budget!$K$3,0)</f>
        <v>0</v>
      </c>
      <c r="R25" s="17">
        <f>N("Spotify")-IF(AND(DAY($A25)=Budget!$M$4, MONTH($A25)=Budget!$L$4),Budget!$K$4,0)</f>
        <v>0</v>
      </c>
      <c r="S25" s="17">
        <f>N("Spotify")-IF(AND(DAY($A25)=Budget!$M$5, MONTH($A25)=Budget!$L$5),Budget!$K$5,0)</f>
        <v>0</v>
      </c>
      <c r="T25" s="17">
        <f>N("Amazon Prime")-IF(DAY(A25)=Budget!$Q$3,Budget!$P$3,0)</f>
        <v>0</v>
      </c>
      <c r="U25" s="17">
        <f>N("Audible")-IF(DAY(A25)=Budget!$Q$12,Budget!$P$12,0)</f>
        <v>0</v>
      </c>
      <c r="V25" s="17">
        <f>N("Crunchyroll")-IF(DAY(A25)=Budget!$Q$5,Budget!$P$5,0)</f>
        <v>0</v>
      </c>
      <c r="W25" s="17">
        <f>N("HBO Max")-IF(DAY(A25)=Budget!$Q$6,Budget!$P$6,0)</f>
        <v>0</v>
      </c>
      <c r="X25" s="17">
        <f>N("Netflix")-IF(DAY(A25)=Budget!$Q$7,Budget!$P$7,0)</f>
        <v>0</v>
      </c>
      <c r="Y25" s="17">
        <f>N("Spotify")-IF(DAY(A25)=Budget!$Q$8,Budget!$P$8,0)</f>
        <v>0</v>
      </c>
      <c r="Z25" s="17">
        <f>N("Truebill")-IF(DAY(A25)=Budget!$Q$9,Budget!$P$9,0)</f>
        <v>0</v>
      </c>
      <c r="AA25" s="6">
        <f t="shared" si="0"/>
        <v>0</v>
      </c>
    </row>
    <row r="26" spans="1:27" x14ac:dyDescent="0.3">
      <c r="A26" s="4">
        <f t="shared" si="1"/>
        <v>45681</v>
      </c>
      <c r="B26" s="2">
        <f t="shared" si="2"/>
        <v>3390.77</v>
      </c>
      <c r="C26" s="7">
        <f t="shared" si="3"/>
        <v>2</v>
      </c>
      <c r="D26" s="1">
        <v>0</v>
      </c>
      <c r="E26" s="17">
        <f>N("PAY-LM")+IF(WEEKDAY(A26)=Budget!$C$3,Budget!$B$3,0)</f>
        <v>1453</v>
      </c>
      <c r="F26" s="17">
        <f>N("Rent")-IF(DAY(A26)=Budget!$G$3,Budget!$F$3,0)</f>
        <v>0</v>
      </c>
      <c r="G26" s="17">
        <f>N("Car")-IF(DAY(A26)=Budget!$G$4,Budget!$F$4+Budget!$H$4,0)</f>
        <v>0</v>
      </c>
      <c r="H26" s="17">
        <f>N("Mom Rent")-IF(DAY(A26)=Budget!$G$5,Budget!$F$5,0)</f>
        <v>0</v>
      </c>
      <c r="I26" s="17">
        <f>N("AT&amp;T")-IF(DAY(A26)=Budget!$G$8,Budget!$F$8,0)</f>
        <v>0</v>
      </c>
      <c r="J26" s="17">
        <f>N("GA Power")-IF(DAY(A26)=Budget!$G$9,Budget!$F$9,0)</f>
        <v>0</v>
      </c>
      <c r="K26" s="17">
        <f>N("Haircut")-IF(DAY(A26)=Budget!$G$10,Budget!$F$10,0)</f>
        <v>0</v>
      </c>
      <c r="L26" s="17">
        <f>N("Groceries")-IF(DAY(A26)=Budget!$G$6,Budget!$F$6,0)</f>
        <v>0</v>
      </c>
      <c r="M26" s="17">
        <f>N("Savings")-IF(DAY(A26)=Budget!$G$7,Budget!$F$7,0)</f>
        <v>0</v>
      </c>
      <c r="N26" s="17">
        <f>N("Car Insurance")-COUNTIF(Budget!$G$14,A26)*Budget!$F$14</f>
        <v>0</v>
      </c>
      <c r="O26" s="17">
        <f>N("Phone Bill")-COUNTIF(Budget!$G$15, A26)*Budget!$F$15</f>
        <v>0</v>
      </c>
      <c r="Q26" s="17">
        <f>N("Spotify")-IF(AND(DAY($A26)=Budget!$M$3, MONTH($A26)=Budget!$L$3),Budget!$K$3,0)</f>
        <v>0</v>
      </c>
      <c r="R26" s="17">
        <f>N("Spotify")-IF(AND(DAY($A26)=Budget!$M$4, MONTH($A26)=Budget!$L$4),Budget!$K$4,0)</f>
        <v>0</v>
      </c>
      <c r="S26" s="17">
        <f>N("Spotify")-IF(AND(DAY($A26)=Budget!$M$5, MONTH($A26)=Budget!$L$5),Budget!$K$5,0)</f>
        <v>0</v>
      </c>
      <c r="T26" s="17">
        <f>N("Amazon Prime")-IF(DAY(A26)=Budget!$Q$3,Budget!$P$3,0)</f>
        <v>0</v>
      </c>
      <c r="U26" s="17">
        <f>N("Audible")-IF(DAY(A26)=Budget!$Q$12,Budget!$P$12,0)</f>
        <v>0</v>
      </c>
      <c r="V26" s="17">
        <f>N("Crunchyroll")-IF(DAY(A26)=Budget!$Q$5,Budget!$P$5,0)</f>
        <v>0</v>
      </c>
      <c r="W26" s="17">
        <f>N("HBO Max")-IF(DAY(A26)=Budget!$Q$6,Budget!$P$6,0)</f>
        <v>0</v>
      </c>
      <c r="X26" s="17">
        <f>N("Netflix")-IF(DAY(A26)=Budget!$Q$7,Budget!$P$7,0)</f>
        <v>0</v>
      </c>
      <c r="Y26" s="17">
        <f>N("Spotify")-IF(DAY(A26)=Budget!$Q$8,Budget!$P$8,0)</f>
        <v>0</v>
      </c>
      <c r="Z26" s="17">
        <f>N("Truebill")-IF(DAY(A26)=Budget!$Q$9,Budget!$P$9,0)</f>
        <v>0</v>
      </c>
      <c r="AA26" s="6">
        <f t="shared" si="0"/>
        <v>1453</v>
      </c>
    </row>
    <row r="27" spans="1:27" x14ac:dyDescent="0.3">
      <c r="A27" s="4">
        <f t="shared" si="1"/>
        <v>45682</v>
      </c>
      <c r="B27" s="2">
        <f t="shared" si="2"/>
        <v>3390.77</v>
      </c>
      <c r="C27" s="7">
        <f t="shared" si="3"/>
        <v>1</v>
      </c>
      <c r="D27" s="1">
        <v>0</v>
      </c>
      <c r="E27" s="17">
        <f>N("PAY-LM")+IF(WEEKDAY(A27)=Budget!$C$3,Budget!$B$3,0)</f>
        <v>0</v>
      </c>
      <c r="F27" s="17">
        <f>N("Rent")-IF(DAY(A27)=Budget!$G$3,Budget!$F$3,0)</f>
        <v>0</v>
      </c>
      <c r="G27" s="17">
        <f>N("Car")-IF(DAY(A27)=Budget!$G$4,Budget!$F$4+Budget!$H$4,0)</f>
        <v>0</v>
      </c>
      <c r="H27" s="17">
        <f>N("Mom Rent")-IF(DAY(A27)=Budget!$G$5,Budget!$F$5,0)</f>
        <v>0</v>
      </c>
      <c r="I27" s="17">
        <f>N("AT&amp;T")-IF(DAY(A27)=Budget!$G$8,Budget!$F$8,0)</f>
        <v>0</v>
      </c>
      <c r="J27" s="17">
        <f>N("GA Power")-IF(DAY(A27)=Budget!$G$9,Budget!$F$9,0)</f>
        <v>0</v>
      </c>
      <c r="K27" s="17">
        <f>N("Haircut")-IF(DAY(A27)=Budget!$G$10,Budget!$F$10,0)</f>
        <v>0</v>
      </c>
      <c r="L27" s="17">
        <f>N("Groceries")-IF(DAY(A27)=Budget!$G$6,Budget!$F$6,0)</f>
        <v>0</v>
      </c>
      <c r="M27" s="17">
        <f>N("Savings")-IF(DAY(A27)=Budget!$G$7,Budget!$F$7,0)</f>
        <v>0</v>
      </c>
      <c r="N27" s="17">
        <f>N("Car Insurance")-COUNTIF(Budget!$G$14,A27)*Budget!$F$14</f>
        <v>0</v>
      </c>
      <c r="O27" s="17">
        <f>N("Phone Bill")-COUNTIF(Budget!$G$15, A27)*Budget!$F$15</f>
        <v>0</v>
      </c>
      <c r="Q27" s="17">
        <f>N("Spotify")-IF(AND(DAY($A27)=Budget!$M$3, MONTH($A27)=Budget!$L$3),Budget!$K$3,0)</f>
        <v>0</v>
      </c>
      <c r="R27" s="17">
        <f>N("Spotify")-IF(AND(DAY($A27)=Budget!$M$4, MONTH($A27)=Budget!$L$4),Budget!$K$4,0)</f>
        <v>0</v>
      </c>
      <c r="S27" s="17">
        <f>N("Spotify")-IF(AND(DAY($A27)=Budget!$M$5, MONTH($A27)=Budget!$L$5),Budget!$K$5,0)</f>
        <v>0</v>
      </c>
      <c r="T27" s="17">
        <f>N("Amazon Prime")-IF(DAY(A27)=Budget!$Q$3,Budget!$P$3,0)</f>
        <v>0</v>
      </c>
      <c r="U27" s="17">
        <f>N("Audible")-IF(DAY(A27)=Budget!$Q$12,Budget!$P$12,0)</f>
        <v>0</v>
      </c>
      <c r="V27" s="17">
        <f>N("Crunchyroll")-IF(DAY(A27)=Budget!$Q$5,Budget!$P$5,0)</f>
        <v>0</v>
      </c>
      <c r="W27" s="17">
        <f>N("HBO Max")-IF(DAY(A27)=Budget!$Q$6,Budget!$P$6,0)</f>
        <v>0</v>
      </c>
      <c r="X27" s="17">
        <f>N("Netflix")-IF(DAY(A27)=Budget!$Q$7,Budget!$P$7,0)</f>
        <v>0</v>
      </c>
      <c r="Y27" s="17">
        <f>N("Spotify")-IF(DAY(A27)=Budget!$Q$8,Budget!$P$8,0)</f>
        <v>0</v>
      </c>
      <c r="Z27" s="17">
        <f>N("Truebill")-IF(DAY(A27)=Budget!$Q$9,Budget!$P$9,0)</f>
        <v>0</v>
      </c>
      <c r="AA27" s="6">
        <f t="shared" si="0"/>
        <v>0</v>
      </c>
    </row>
    <row r="28" spans="1:27" x14ac:dyDescent="0.3">
      <c r="A28" s="4">
        <f t="shared" si="1"/>
        <v>45683</v>
      </c>
      <c r="B28" s="2">
        <f t="shared" si="2"/>
        <v>2990.77</v>
      </c>
      <c r="C28" s="7">
        <f t="shared" si="3"/>
        <v>0</v>
      </c>
      <c r="D28" s="1">
        <v>0</v>
      </c>
      <c r="E28" s="17">
        <f>N("PAY-LM")+IF(WEEKDAY(A28)=Budget!$C$3,Budget!$B$3,0)</f>
        <v>0</v>
      </c>
      <c r="F28" s="17">
        <f>N("Rent")-IF(DAY(A28)=Budget!$G$3,Budget!$F$3,0)</f>
        <v>0</v>
      </c>
      <c r="G28" s="17">
        <f>N("Car")-IF(DAY(A28)=Budget!$G$4,Budget!$F$4+Budget!$H$4,0)</f>
        <v>0</v>
      </c>
      <c r="H28" s="17">
        <f>N("Mom Rent")-IF(DAY(A28)=Budget!$G$5,Budget!$F$5,0)</f>
        <v>0</v>
      </c>
      <c r="I28" s="17">
        <f>N("AT&amp;T")-IF(DAY(A28)=Budget!$G$8,Budget!$F$8,0)</f>
        <v>0</v>
      </c>
      <c r="J28" s="17">
        <f>N("GA Power")-IF(DAY(A28)=Budget!$G$9,Budget!$F$9,0)</f>
        <v>0</v>
      </c>
      <c r="K28" s="17">
        <f>N("Haircut")-IF(DAY(A28)=Budget!$G$10,Budget!$F$10,0)</f>
        <v>-400</v>
      </c>
      <c r="L28" s="17">
        <f>N("Groceries")-IF(DAY(A28)=Budget!$G$6,Budget!$F$6,0)</f>
        <v>0</v>
      </c>
      <c r="M28" s="17">
        <f>N("Savings")-IF(DAY(A28)=Budget!$G$7,Budget!$F$7,0)</f>
        <v>0</v>
      </c>
      <c r="N28" s="17">
        <f>N("Car Insurance")-COUNTIF(Budget!$G$14,A28)*Budget!$F$14</f>
        <v>0</v>
      </c>
      <c r="O28" s="17">
        <f>N("Phone Bill")-COUNTIF(Budget!$G$15, A28)*Budget!$F$15</f>
        <v>0</v>
      </c>
      <c r="Q28" s="17">
        <f>N("Spotify")-IF(AND(DAY($A28)=Budget!$M$3, MONTH($A28)=Budget!$L$3),Budget!$K$3,0)</f>
        <v>0</v>
      </c>
      <c r="R28" s="17">
        <f>N("Spotify")-IF(AND(DAY($A28)=Budget!$M$4, MONTH($A28)=Budget!$L$4),Budget!$K$4,0)</f>
        <v>0</v>
      </c>
      <c r="S28" s="17">
        <f>N("Spotify")-IF(AND(DAY($A28)=Budget!$M$5, MONTH($A28)=Budget!$L$5),Budget!$K$5,0)</f>
        <v>0</v>
      </c>
      <c r="T28" s="17">
        <f>N("Amazon Prime")-IF(DAY(A28)=Budget!$Q$3,Budget!$P$3,0)</f>
        <v>0</v>
      </c>
      <c r="U28" s="17">
        <f>N("Audible")-IF(DAY(A28)=Budget!$Q$12,Budget!$P$12,0)</f>
        <v>0</v>
      </c>
      <c r="V28" s="17">
        <f>N("Crunchyroll")-IF(DAY(A28)=Budget!$Q$5,Budget!$P$5,0)</f>
        <v>0</v>
      </c>
      <c r="W28" s="17">
        <f>N("HBO Max")-IF(DAY(A28)=Budget!$Q$6,Budget!$P$6,0)</f>
        <v>0</v>
      </c>
      <c r="X28" s="17">
        <f>N("Netflix")-IF(DAY(A28)=Budget!$Q$7,Budget!$P$7,0)</f>
        <v>0</v>
      </c>
      <c r="Y28" s="17">
        <f>N("Spotify")-IF(DAY(A28)=Budget!$Q$8,Budget!$P$8,0)</f>
        <v>0</v>
      </c>
      <c r="Z28" s="17">
        <f>N("Truebill")-IF(DAY(A28)=Budget!$Q$9,Budget!$P$9,0)</f>
        <v>0</v>
      </c>
      <c r="AA28" s="6">
        <f t="shared" si="0"/>
        <v>-400</v>
      </c>
    </row>
    <row r="29" spans="1:27" x14ac:dyDescent="0.3">
      <c r="A29" s="4">
        <f t="shared" si="1"/>
        <v>45684</v>
      </c>
      <c r="B29" s="2">
        <f t="shared" si="2"/>
        <v>2990.77</v>
      </c>
      <c r="C29" s="7">
        <f t="shared" si="3"/>
        <v>1</v>
      </c>
      <c r="D29" s="1">
        <v>0</v>
      </c>
      <c r="E29" s="17">
        <f>N("PAY-LM")+IF(WEEKDAY(A29)=Budget!$C$3,Budget!$B$3,0)</f>
        <v>0</v>
      </c>
      <c r="F29" s="17">
        <f>N("Rent")-IF(DAY(A29)=Budget!$G$3,Budget!$F$3,0)</f>
        <v>0</v>
      </c>
      <c r="G29" s="17">
        <f>N("Car")-IF(DAY(A29)=Budget!$G$4,Budget!$F$4+Budget!$H$4,0)</f>
        <v>0</v>
      </c>
      <c r="H29" s="17">
        <f>N("Mom Rent")-IF(DAY(A29)=Budget!$G$5,Budget!$F$5,0)</f>
        <v>0</v>
      </c>
      <c r="I29" s="17">
        <f>N("AT&amp;T")-IF(DAY(A29)=Budget!$G$8,Budget!$F$8,0)</f>
        <v>0</v>
      </c>
      <c r="J29" s="17">
        <f>N("GA Power")-IF(DAY(A29)=Budget!$G$9,Budget!$F$9,0)</f>
        <v>0</v>
      </c>
      <c r="K29" s="17">
        <f>N("Haircut")-IF(DAY(A29)=Budget!$G$10,Budget!$F$10,0)</f>
        <v>0</v>
      </c>
      <c r="L29" s="17">
        <f>N("Groceries")-IF(DAY(A29)=Budget!$G$6,Budget!$F$6,0)</f>
        <v>0</v>
      </c>
      <c r="M29" s="17">
        <f>N("Savings")-IF(DAY(A29)=Budget!$G$7,Budget!$F$7,0)</f>
        <v>0</v>
      </c>
      <c r="N29" s="17">
        <f>N("Car Insurance")-COUNTIF(Budget!$G$14,A29)*Budget!$F$14</f>
        <v>0</v>
      </c>
      <c r="O29" s="17">
        <f>N("Phone Bill")-COUNTIF(Budget!$G$15, A29)*Budget!$F$15</f>
        <v>0</v>
      </c>
      <c r="Q29" s="17">
        <f>N("Spotify")-IF(AND(DAY($A29)=Budget!$M$3, MONTH($A29)=Budget!$L$3),Budget!$K$3,0)</f>
        <v>0</v>
      </c>
      <c r="R29" s="17">
        <f>N("Spotify")-IF(AND(DAY($A29)=Budget!$M$4, MONTH($A29)=Budget!$L$4),Budget!$K$4,0)</f>
        <v>0</v>
      </c>
      <c r="S29" s="17">
        <f>N("Spotify")-IF(AND(DAY($A29)=Budget!$M$5, MONTH($A29)=Budget!$L$5),Budget!$K$5,0)</f>
        <v>0</v>
      </c>
      <c r="T29" s="17">
        <f>N("Amazon Prime")-IF(DAY(A29)=Budget!$Q$3,Budget!$P$3,0)</f>
        <v>0</v>
      </c>
      <c r="U29" s="17">
        <f>N("Audible")-IF(DAY(A29)=Budget!$Q$12,Budget!$P$12,0)</f>
        <v>0</v>
      </c>
      <c r="V29" s="17">
        <f>N("Crunchyroll")-IF(DAY(A29)=Budget!$Q$5,Budget!$P$5,0)</f>
        <v>0</v>
      </c>
      <c r="W29" s="17">
        <f>N("HBO Max")-IF(DAY(A29)=Budget!$Q$6,Budget!$P$6,0)</f>
        <v>0</v>
      </c>
      <c r="X29" s="17">
        <f>N("Netflix")-IF(DAY(A29)=Budget!$Q$7,Budget!$P$7,0)</f>
        <v>0</v>
      </c>
      <c r="Y29" s="17">
        <f>N("Spotify")-IF(DAY(A29)=Budget!$Q$8,Budget!$P$8,0)</f>
        <v>0</v>
      </c>
      <c r="Z29" s="17">
        <f>N("Truebill")-IF(DAY(A29)=Budget!$Q$9,Budget!$P$9,0)</f>
        <v>0</v>
      </c>
      <c r="AA29" s="6">
        <f t="shared" si="0"/>
        <v>0</v>
      </c>
    </row>
    <row r="30" spans="1:27" x14ac:dyDescent="0.3">
      <c r="A30" s="4">
        <f t="shared" si="1"/>
        <v>45685</v>
      </c>
      <c r="B30" s="2">
        <v>1216</v>
      </c>
      <c r="C30" s="7">
        <f t="shared" si="3"/>
        <v>0</v>
      </c>
      <c r="D30" s="1">
        <v>0</v>
      </c>
      <c r="E30" s="17">
        <f>N("PAY-LM")+IF(WEEKDAY(A30)=Budget!$C$3,Budget!$B$3,0)</f>
        <v>0</v>
      </c>
      <c r="F30" s="17">
        <f>N("Rent")-IF(DAY(A30)=Budget!$G$3,Budget!$F$3,0)</f>
        <v>0</v>
      </c>
      <c r="G30" s="17">
        <f>N("Car")-IF(DAY(A30)=Budget!$G$4,Budget!$F$4+Budget!$H$4,0)</f>
        <v>0</v>
      </c>
      <c r="H30" s="17">
        <f>N("Mom Rent")-IF(DAY(A30)=Budget!$G$5,Budget!$F$5,0)</f>
        <v>0</v>
      </c>
      <c r="I30" s="17">
        <f>N("AT&amp;T")-IF(DAY(A30)=Budget!$G$8,Budget!$F$8,0)</f>
        <v>0</v>
      </c>
      <c r="J30" s="17">
        <f>N("GA Power")-IF(DAY(A30)=Budget!$G$9,Budget!$F$9,0)</f>
        <v>0</v>
      </c>
      <c r="K30" s="17">
        <f>N("Haircut")-IF(DAY(A30)=Budget!$G$10,Budget!$F$10,0)</f>
        <v>0</v>
      </c>
      <c r="L30" s="17">
        <f>N("Groceries")-IF(DAY(A30)=Budget!$G$6,Budget!$F$6,0)</f>
        <v>0</v>
      </c>
      <c r="M30" s="17">
        <f>N("Savings")-IF(DAY(A30)=Budget!$G$7,Budget!$F$7,0)</f>
        <v>-1000</v>
      </c>
      <c r="N30" s="17">
        <f>N("Car Insurance")-COUNTIF(Budget!$G$14,A30)*Budget!$F$14</f>
        <v>0</v>
      </c>
      <c r="O30" s="17">
        <f>N("Phone Bill")-COUNTIF(Budget!$G$15, A30)*Budget!$F$15</f>
        <v>0</v>
      </c>
      <c r="Q30" s="17">
        <f>N("Spotify")-IF(AND(DAY($A30)=Budget!$M$3, MONTH($A30)=Budget!$L$3),Budget!$K$3,0)</f>
        <v>0</v>
      </c>
      <c r="R30" s="17">
        <f>N("Spotify")-IF(AND(DAY($A30)=Budget!$M$4, MONTH($A30)=Budget!$L$4),Budget!$K$4,0)</f>
        <v>0</v>
      </c>
      <c r="S30" s="17">
        <f>N("Spotify")-IF(AND(DAY($A30)=Budget!$M$5, MONTH($A30)=Budget!$L$5),Budget!$K$5,0)</f>
        <v>0</v>
      </c>
      <c r="T30" s="17">
        <f>N("Amazon Prime")-IF(DAY(A30)=Budget!$Q$3,Budget!$P$3,0)</f>
        <v>0</v>
      </c>
      <c r="U30" s="17">
        <f>N("Audible")-IF(DAY(A30)=Budget!$Q$12,Budget!$P$12,0)</f>
        <v>0</v>
      </c>
      <c r="V30" s="17">
        <f>N("Crunchyroll")-IF(DAY(A30)=Budget!$Q$5,Budget!$P$5,0)</f>
        <v>0</v>
      </c>
      <c r="W30" s="17">
        <f>N("HBO Max")-IF(DAY(A30)=Budget!$Q$6,Budget!$P$6,0)</f>
        <v>0</v>
      </c>
      <c r="X30" s="17">
        <f>N("Netflix")-IF(DAY(A30)=Budget!$Q$7,Budget!$P$7,0)</f>
        <v>0</v>
      </c>
      <c r="Y30" s="17">
        <f>N("Spotify")-IF(DAY(A30)=Budget!$Q$8,Budget!$P$8,0)</f>
        <v>-150</v>
      </c>
      <c r="Z30" s="17">
        <f>N("Truebill")-IF(DAY(A30)=Budget!$Q$9,Budget!$P$9,0)</f>
        <v>0</v>
      </c>
      <c r="AA30" s="6">
        <f t="shared" si="0"/>
        <v>-1150</v>
      </c>
    </row>
    <row r="31" spans="1:27" x14ac:dyDescent="0.3">
      <c r="A31" s="4">
        <f t="shared" si="1"/>
        <v>45686</v>
      </c>
      <c r="B31" s="2">
        <f t="shared" si="2"/>
        <v>1191.4000000000001</v>
      </c>
      <c r="C31" s="7">
        <f t="shared" si="3"/>
        <v>0</v>
      </c>
      <c r="D31" s="1">
        <v>0</v>
      </c>
      <c r="E31" s="17">
        <f>N("PAY-LM")+IF(WEEKDAY(A31)=Budget!$C$3,Budget!$B$3,0)</f>
        <v>0</v>
      </c>
      <c r="F31" s="17">
        <f>N("Rent")-IF(DAY(A31)=Budget!$G$3,Budget!$F$3,0)</f>
        <v>0</v>
      </c>
      <c r="G31" s="17">
        <f>N("Car")-IF(DAY(A31)=Budget!$G$4,Budget!$F$4+Budget!$H$4,0)</f>
        <v>0</v>
      </c>
      <c r="H31" s="17">
        <f>N("Mom Rent")-IF(DAY(A31)=Budget!$G$5,Budget!$F$5,0)</f>
        <v>0</v>
      </c>
      <c r="I31" s="17">
        <f>N("AT&amp;T")-IF(DAY(A31)=Budget!$G$8,Budget!$F$8,0)</f>
        <v>0</v>
      </c>
      <c r="J31" s="17">
        <f>N("GA Power")-IF(DAY(A31)=Budget!$G$9,Budget!$F$9,0)</f>
        <v>0</v>
      </c>
      <c r="K31" s="17">
        <f>N("Haircut")-IF(DAY(A31)=Budget!$G$10,Budget!$F$10,0)</f>
        <v>0</v>
      </c>
      <c r="L31" s="17">
        <f>N("Groceries")-IF(DAY(A31)=Budget!$G$6,Budget!$F$6,0)</f>
        <v>0</v>
      </c>
      <c r="M31" s="17">
        <f>N("Savings")-IF(DAY(A31)=Budget!$G$7,Budget!$F$7,0)</f>
        <v>0</v>
      </c>
      <c r="N31" s="17">
        <f>N("Car Insurance")-COUNTIF(Budget!$G$14,A31)*Budget!$F$14</f>
        <v>0</v>
      </c>
      <c r="O31" s="17">
        <f>N("Phone Bill")-COUNTIF(Budget!$G$15, A31)*Budget!$F$15</f>
        <v>0</v>
      </c>
      <c r="Q31" s="17">
        <f>N("Spotify")-IF(AND(DAY($A31)=Budget!$M$3, MONTH($A31)=Budget!$L$3),Budget!$K$3,0)</f>
        <v>0</v>
      </c>
      <c r="R31" s="17">
        <f>N("Spotify")-IF(AND(DAY($A31)=Budget!$M$4, MONTH($A31)=Budget!$L$4),Budget!$K$4,0)</f>
        <v>0</v>
      </c>
      <c r="S31" s="17">
        <f>N("Spotify")-IF(AND(DAY($A31)=Budget!$M$5, MONTH($A31)=Budget!$L$5),Budget!$K$5,0)</f>
        <v>0</v>
      </c>
      <c r="T31" s="17">
        <f>N("Amazon Prime")-IF(DAY(A31)=Budget!$Q$3,Budget!$P$3,0)</f>
        <v>0</v>
      </c>
      <c r="U31" s="17">
        <f>N("Audible")-IF(DAY(A31)=Budget!$Q$12,Budget!$P$12,0)</f>
        <v>0</v>
      </c>
      <c r="V31" s="17">
        <f>N("Crunchyroll")-IF(DAY(A31)=Budget!$Q$5,Budget!$P$5,0)</f>
        <v>-24.6</v>
      </c>
      <c r="W31" s="17">
        <f>N("HBO Max")-IF(DAY(A31)=Budget!$Q$6,Budget!$P$6,0)</f>
        <v>0</v>
      </c>
      <c r="X31" s="17">
        <f>N("Netflix")-IF(DAY(A31)=Budget!$Q$7,Budget!$P$7,0)</f>
        <v>0</v>
      </c>
      <c r="Y31" s="17">
        <f>N("Spotify")-IF(DAY(A31)=Budget!$Q$8,Budget!$P$8,0)</f>
        <v>0</v>
      </c>
      <c r="Z31" s="17">
        <f>N("Truebill")-IF(DAY(A31)=Budget!$Q$9,Budget!$P$9,0)</f>
        <v>0</v>
      </c>
      <c r="AA31" s="6">
        <f t="shared" si="0"/>
        <v>-24.6</v>
      </c>
    </row>
    <row r="32" spans="1:27" x14ac:dyDescent="0.3">
      <c r="A32" s="4">
        <f t="shared" si="1"/>
        <v>45687</v>
      </c>
      <c r="B32" s="2">
        <f t="shared" si="2"/>
        <v>1191.4000000000001</v>
      </c>
      <c r="C32" s="7">
        <f t="shared" si="3"/>
        <v>1</v>
      </c>
      <c r="D32" s="1">
        <v>0</v>
      </c>
      <c r="E32" s="17">
        <f>N("PAY-LM")+IF(WEEKDAY(A32)=Budget!$C$3,Budget!$B$3,0)</f>
        <v>0</v>
      </c>
      <c r="F32" s="17">
        <f>N("Rent")-IF(DAY(A32)=Budget!$G$3,Budget!$F$3,0)</f>
        <v>0</v>
      </c>
      <c r="G32" s="17">
        <f>N("Car")-IF(DAY(A32)=Budget!$G$4,Budget!$F$4+Budget!$H$4,0)</f>
        <v>0</v>
      </c>
      <c r="H32" s="17">
        <f>N("Mom Rent")-IF(DAY(A32)=Budget!$G$5,Budget!$F$5,0)</f>
        <v>0</v>
      </c>
      <c r="I32" s="17">
        <f>N("AT&amp;T")-IF(DAY(A32)=Budget!$G$8,Budget!$F$8,0)</f>
        <v>0</v>
      </c>
      <c r="J32" s="17">
        <f>N("GA Power")-IF(DAY(A32)=Budget!$G$9,Budget!$F$9,0)</f>
        <v>0</v>
      </c>
      <c r="K32" s="17">
        <f>N("Haircut")-IF(DAY(A32)=Budget!$G$10,Budget!$F$10,0)</f>
        <v>0</v>
      </c>
      <c r="L32" s="17">
        <f>N("Groceries")-IF(DAY(A32)=Budget!$G$6,Budget!$F$6,0)</f>
        <v>0</v>
      </c>
      <c r="M32" s="17">
        <f>N("Savings")-IF(DAY(A32)=Budget!$G$7,Budget!$F$7,0)</f>
        <v>0</v>
      </c>
      <c r="N32" s="17">
        <f>N("Car Insurance")-COUNTIF(Budget!$G$14,A32)*Budget!$F$14</f>
        <v>0</v>
      </c>
      <c r="O32" s="17">
        <f>N("Phone Bill")-COUNTIF(Budget!$G$15, A32)*Budget!$F$15</f>
        <v>0</v>
      </c>
      <c r="Q32" s="17">
        <f>N("Spotify")-IF(AND(DAY($A32)=Budget!$M$3, MONTH($A32)=Budget!$L$3),Budget!$K$3,0)</f>
        <v>0</v>
      </c>
      <c r="R32" s="17">
        <f>N("Spotify")-IF(AND(DAY($A32)=Budget!$M$4, MONTH($A32)=Budget!$L$4),Budget!$K$4,0)</f>
        <v>0</v>
      </c>
      <c r="S32" s="17">
        <f>N("Spotify")-IF(AND(DAY($A32)=Budget!$M$5, MONTH($A32)=Budget!$L$5),Budget!$K$5,0)</f>
        <v>0</v>
      </c>
      <c r="T32" s="17">
        <f>N("Amazon Prime")-IF(DAY(A32)=Budget!$Q$3,Budget!$P$3,0)</f>
        <v>0</v>
      </c>
      <c r="U32" s="17">
        <f>N("Audible")-IF(DAY(A32)=Budget!$Q$12,Budget!$P$12,0)</f>
        <v>0</v>
      </c>
      <c r="V32" s="17">
        <f>N("Crunchyroll")-IF(DAY(A32)=Budget!$Q$5,Budget!$P$5,0)</f>
        <v>0</v>
      </c>
      <c r="W32" s="17">
        <f>N("HBO Max")-IF(DAY(A32)=Budget!$Q$6,Budget!$P$6,0)</f>
        <v>0</v>
      </c>
      <c r="X32" s="17">
        <f>N("Netflix")-IF(DAY(A32)=Budget!$Q$7,Budget!$P$7,0)</f>
        <v>0</v>
      </c>
      <c r="Y32" s="17">
        <f>N("Spotify")-IF(DAY(A32)=Budget!$Q$8,Budget!$P$8,0)</f>
        <v>0</v>
      </c>
      <c r="Z32" s="17">
        <f>N("Truebill")-IF(DAY(A32)=Budget!$Q$9,Budget!$P$9,0)</f>
        <v>0</v>
      </c>
      <c r="AA32" s="6">
        <f t="shared" si="0"/>
        <v>0</v>
      </c>
    </row>
    <row r="33" spans="1:30" x14ac:dyDescent="0.3">
      <c r="A33" s="4">
        <f t="shared" si="1"/>
        <v>45688</v>
      </c>
      <c r="B33" s="2">
        <f>B32+AA33</f>
        <v>2644.4</v>
      </c>
      <c r="C33" s="7">
        <f>IF(B33&gt;B32,2,IF(B33=B32, 1,0))</f>
        <v>2</v>
      </c>
      <c r="D33" s="1">
        <v>0</v>
      </c>
      <c r="E33" s="17">
        <f>N("PAY-LM")+IF(WEEKDAY(A33)=Budget!$C$3,Budget!$B$3,0)</f>
        <v>1453</v>
      </c>
      <c r="F33" s="17">
        <f>N("Rent")-IF(DAY(A33)=Budget!$G$3,Budget!$F$3,0)</f>
        <v>0</v>
      </c>
      <c r="G33" s="17">
        <f>N("Car")-IF(DAY(A33)=Budget!$G$4,Budget!$F$4+Budget!$H$4,0)</f>
        <v>0</v>
      </c>
      <c r="H33" s="17">
        <f>N("Mom Rent")-IF(DAY(A33)=Budget!$G$5,Budget!$F$5,0)</f>
        <v>0</v>
      </c>
      <c r="I33" s="17">
        <f>N("AT&amp;T")-IF(DAY(A33)=Budget!$G$8,Budget!$F$8,0)</f>
        <v>0</v>
      </c>
      <c r="J33" s="17">
        <f>N("GA Power")-IF(DAY(A33)=Budget!$G$9,Budget!$F$9,0)</f>
        <v>0</v>
      </c>
      <c r="K33" s="17">
        <f>N("Haircut")-IF(DAY(A33)=Budget!$G$10,Budget!$F$10,0)</f>
        <v>0</v>
      </c>
      <c r="L33" s="17">
        <f>N("Groceries")-IF(DAY(A33)=Budget!$G$6,Budget!$F$6,0)</f>
        <v>0</v>
      </c>
      <c r="M33" s="17">
        <f>N("Savings")-IF(DAY(A33)=Budget!$G$7,Budget!$F$7,0)</f>
        <v>0</v>
      </c>
      <c r="N33" s="17">
        <f>N("Car Insurance")-COUNTIF(Budget!$G$14,A33)*Budget!$F$14</f>
        <v>0</v>
      </c>
      <c r="O33" s="17">
        <f>N("Phone Bill")-COUNTIF(Budget!$G$15, A33)*Budget!$F$15</f>
        <v>0</v>
      </c>
      <c r="Q33" s="17">
        <f>N("Spotify")-IF(AND(DAY($A33)=Budget!$M$3, MONTH($A33)=Budget!$L$3),Budget!$K$3,0)</f>
        <v>0</v>
      </c>
      <c r="R33" s="17">
        <f>N("Spotify")-IF(AND(DAY($A33)=Budget!$M$4, MONTH($A33)=Budget!$L$4),Budget!$K$4,0)</f>
        <v>0</v>
      </c>
      <c r="S33" s="17">
        <f>N("Spotify")-IF(AND(DAY($A33)=Budget!$M$5, MONTH($A33)=Budget!$L$5),Budget!$K$5,0)</f>
        <v>0</v>
      </c>
      <c r="T33" s="17">
        <f>N("Amazon Prime")-IF(DAY(A33)=Budget!$Q$3,Budget!$P$3,0)</f>
        <v>0</v>
      </c>
      <c r="U33" s="17">
        <f>N("Audible")-IF(DAY(A33)=Budget!$Q$12,Budget!$P$12,0)</f>
        <v>0</v>
      </c>
      <c r="V33" s="17">
        <f>N("Crunchyroll")-IF(DAY(A33)=Budget!$Q$5,Budget!$P$5,0)</f>
        <v>0</v>
      </c>
      <c r="W33" s="17">
        <f>N("HBO Max")-IF(DAY(A33)=Budget!$Q$6,Budget!$P$6,0)</f>
        <v>0</v>
      </c>
      <c r="X33" s="17">
        <f>N("Netflix")-IF(DAY(A33)=Budget!$Q$7,Budget!$P$7,0)</f>
        <v>0</v>
      </c>
      <c r="Y33" s="17">
        <f>N("Spotify")-IF(DAY(A33)=Budget!$Q$8,Budget!$P$8,0)</f>
        <v>0</v>
      </c>
      <c r="Z33" s="17">
        <f>N("Truebill")-IF(DAY(A33)=Budget!$Q$9,Budget!$P$9,0)</f>
        <v>0</v>
      </c>
      <c r="AA33" s="6">
        <f>SUM(D33:Z33)</f>
        <v>1453</v>
      </c>
    </row>
    <row r="35" spans="1:30" x14ac:dyDescent="0.3">
      <c r="D35" s="40" t="s">
        <v>17</v>
      </c>
      <c r="E35" s="41" t="s">
        <v>15</v>
      </c>
      <c r="F35" s="41"/>
      <c r="G35" s="41"/>
      <c r="H35" s="41"/>
      <c r="I35" s="41"/>
      <c r="J35" s="41"/>
      <c r="K35" s="41"/>
      <c r="L35" s="41"/>
      <c r="M35" s="41"/>
      <c r="N35" s="42" t="str">
        <f>Budget!$E$12</f>
        <v>Annual Expenses</v>
      </c>
      <c r="O35" s="42"/>
      <c r="Q35" s="43" t="s">
        <v>36</v>
      </c>
      <c r="R35" s="43"/>
      <c r="S35" s="43"/>
      <c r="T35" s="41" t="s">
        <v>8</v>
      </c>
      <c r="U35" s="41"/>
      <c r="V35" s="41"/>
      <c r="W35" s="41"/>
      <c r="X35" s="41"/>
      <c r="Y35" s="41"/>
      <c r="Z35" s="41"/>
      <c r="AA35" s="10" t="s">
        <v>16</v>
      </c>
      <c r="AC35" s="6">
        <f>SUMIF(D37:Z64,"&lt;0")</f>
        <v>-5257.82</v>
      </c>
      <c r="AD35" s="6">
        <f>SUM(E37:E64)</f>
        <v>5812</v>
      </c>
    </row>
    <row r="36" spans="1:30" x14ac:dyDescent="0.3">
      <c r="A36" s="39">
        <f>EDATE(A2,1)</f>
        <v>45689</v>
      </c>
      <c r="B36" s="39"/>
      <c r="D36" s="40"/>
      <c r="E36" s="18" t="str">
        <f>Budget!$A$3</f>
        <v>PAY-LM</v>
      </c>
      <c r="F36" t="str">
        <f>Budget!$E$3</f>
        <v>Rent</v>
      </c>
      <c r="G36" t="str">
        <f>Budget!$E$4</f>
        <v>Car</v>
      </c>
      <c r="H36" t="str">
        <f>Budget!$E$5</f>
        <v>Mom Rent</v>
      </c>
      <c r="I36" t="str">
        <f>Budget!$E$8</f>
        <v>AT&amp;T</v>
      </c>
      <c r="J36" t="str">
        <f>Budget!$E$9</f>
        <v>GA Power</v>
      </c>
      <c r="K36" t="str">
        <f>Budget!$E$10</f>
        <v>TH</v>
      </c>
      <c r="L36" t="str">
        <f>Budget!$E$6</f>
        <v>Groceries</v>
      </c>
      <c r="M36" s="16" t="str">
        <f>Budget!$E$7</f>
        <v>Savings</v>
      </c>
      <c r="N36" t="str">
        <f>Budget!$E$14</f>
        <v>Car Insurance</v>
      </c>
      <c r="O36" t="str">
        <f>Budget!$E$15</f>
        <v>Phone Bill</v>
      </c>
      <c r="Q36" t="str">
        <f>Budget!$J$3</f>
        <v>Capital One</v>
      </c>
      <c r="R36" t="str">
        <f>Budget!$J$4</f>
        <v>Chase</v>
      </c>
      <c r="S36" t="str">
        <f>Budget!$J$5</f>
        <v>NFCU</v>
      </c>
      <c r="T36" t="str">
        <f>Budget!$O$3</f>
        <v>Amazon Prime</v>
      </c>
      <c r="U36" t="str">
        <f>Budget!$O$12</f>
        <v>Audible</v>
      </c>
      <c r="V36" t="str">
        <f>Budget!$O$5</f>
        <v>Netflix</v>
      </c>
      <c r="W36" t="str">
        <f>Budget!$O$6</f>
        <v>Spotify</v>
      </c>
      <c r="X36" t="str">
        <f>Budget!$O$7</f>
        <v>Rocket Money</v>
      </c>
      <c r="Y36" t="str">
        <f>Budget!$O$8</f>
        <v>Little4Much</v>
      </c>
      <c r="Z36" t="str">
        <f>Budget!$O$9</f>
        <v>None</v>
      </c>
      <c r="AA36" s="10"/>
      <c r="AC36" s="3">
        <f>AD35+AC35</f>
        <v>554.18000000000029</v>
      </c>
    </row>
    <row r="37" spans="1:30" x14ac:dyDescent="0.3">
      <c r="A37" s="4">
        <f>A36</f>
        <v>45689</v>
      </c>
      <c r="B37" s="2">
        <f>B33+AA37</f>
        <v>911.40000000000009</v>
      </c>
      <c r="C37" s="7">
        <f>IF(B37&gt;B32,2,IF(B37=B32, 1,0))</f>
        <v>0</v>
      </c>
      <c r="D37" s="1">
        <v>0</v>
      </c>
      <c r="E37" s="17">
        <f>N("PAY-LM")+IF(WEEKDAY(A37)=Budget!$C$3,Budget!$B$3,0)</f>
        <v>0</v>
      </c>
      <c r="F37" s="17">
        <f>N("Rent")-IF(DAY(A37)=Budget!$G$3,Budget!$F$3,0)</f>
        <v>-1733</v>
      </c>
      <c r="G37" s="17">
        <f>N("Car")-IF(DAY(A37)=Budget!$G$4,Budget!$F$4+Budget!$H$4,0)</f>
        <v>0</v>
      </c>
      <c r="H37" s="17">
        <f>N("Mom Rent")-IF(DAY(A37)=Budget!$G$5,Budget!$F$5,0)</f>
        <v>0</v>
      </c>
      <c r="I37" s="17">
        <f>N("AT&amp;T")-IF(DAY(A37)=Budget!$G$8,Budget!$F$8,0)</f>
        <v>0</v>
      </c>
      <c r="J37" s="17">
        <f>N("GA Power")-IF(DAY(A37)=Budget!$G$9,Budget!$F$9,0)</f>
        <v>0</v>
      </c>
      <c r="K37" s="17">
        <f>N("Haircut")-IF(DAY(A37)=Budget!$G$10,Budget!$F$10,0)</f>
        <v>0</v>
      </c>
      <c r="L37" s="17">
        <f>N("Groceries")-IF(DAY(A37)=Budget!$G$6,Budget!$F$6,0)</f>
        <v>0</v>
      </c>
      <c r="M37" s="17">
        <f>N("Savings")-IF(DAY(A37)=Budget!$G$7,Budget!$F$7,0)</f>
        <v>0</v>
      </c>
      <c r="N37" s="17">
        <f>N("Car Insurance")-COUNTIF(Budget!$G$14, A37)*Budget!$F$14</f>
        <v>0</v>
      </c>
      <c r="O37" s="17">
        <f>N("Phone Bill")-COUNTIF(Budget!$G$15, A37)*Budget!$F$15</f>
        <v>0</v>
      </c>
      <c r="Q37" s="17">
        <f>N("Spotify")-IF(AND(DAY($A37)=Budget!$M$3, MONTH($A37)=Budget!$L$3),Budget!$K$3,0)</f>
        <v>0</v>
      </c>
      <c r="R37" s="17">
        <f>N("Spotify")-IF(AND(DAY($A37)=Budget!$M$4, MONTH($A37)=Budget!$L$4),Budget!$K$4,0)</f>
        <v>0</v>
      </c>
      <c r="S37" s="17">
        <f>N("Spotify")-IF(AND(DAY($A37)=Budget!$M$5, MONTH($A37)=Budget!$L$5),Budget!$K$5,0)</f>
        <v>0</v>
      </c>
      <c r="T37" s="17">
        <f>N("Amazon Prime")-IF(DAY(A37)=Budget!$Q$3,Budget!$P$3,0)</f>
        <v>0</v>
      </c>
      <c r="U37" s="17">
        <f>N("Audible")-IF(DAY(A37)=Budget!$Q$12,Budget!$P$12,0)</f>
        <v>0</v>
      </c>
      <c r="V37" s="17">
        <f>N("Crunchyroll")-IF(DAY(A37)=Budget!$Q$5,Budget!$P$5,0)</f>
        <v>0</v>
      </c>
      <c r="W37" s="17">
        <f>N("HBO Max")-IF(DAY(A37)=Budget!$Q$6,Budget!$P$6,0)</f>
        <v>0</v>
      </c>
      <c r="X37" s="17">
        <f>N("Netflix")-IF(DAY(A37)=Budget!$Q$7,Budget!$P$7,0)</f>
        <v>0</v>
      </c>
      <c r="Y37" s="17">
        <f>N("Spotify")-IF(DAY(A37)=Budget!$Q$8,Budget!$P$8,0)</f>
        <v>0</v>
      </c>
      <c r="Z37" s="17">
        <f>N("Truebill")-IF(DAY(A37)=Budget!$Q$9,Budget!$P$9,0)</f>
        <v>0</v>
      </c>
      <c r="AA37" s="6">
        <f t="shared" ref="AA37:AA64" si="4">SUM(D37:Z37)</f>
        <v>-1733</v>
      </c>
    </row>
    <row r="38" spans="1:30" x14ac:dyDescent="0.3">
      <c r="A38" s="4">
        <f t="shared" ref="A38:A64" si="5">A37+1</f>
        <v>45690</v>
      </c>
      <c r="B38" s="2">
        <f t="shared" ref="B38:B64" si="6">B37+AA38</f>
        <v>108.05000000000007</v>
      </c>
      <c r="C38" s="7">
        <f t="shared" ref="C38:C64" si="7">IF(B38&gt;B37,2,IF(B38=B37, 1,0))</f>
        <v>0</v>
      </c>
      <c r="D38" s="1">
        <v>0</v>
      </c>
      <c r="E38" s="17">
        <f>N("PAY-LM")+IF(WEEKDAY(A38)=Budget!$C$3,Budget!$B$3,0)</f>
        <v>0</v>
      </c>
      <c r="F38" s="17">
        <f>N("Rent")-IF(DAY(A38)=Budget!$G$3,Budget!$F$3,0)</f>
        <v>0</v>
      </c>
      <c r="G38" s="17">
        <f>N("Car")-IF(DAY(A38)=Budget!$G$4,Budget!$F$4+Budget!$H$4,0)</f>
        <v>-503.35</v>
      </c>
      <c r="H38" s="17">
        <f>N("Mom Rent")-IF(DAY(A38)=Budget!$G$5,Budget!$F$5,0)</f>
        <v>0</v>
      </c>
      <c r="I38" s="17">
        <f>N("AT&amp;T")-IF(DAY(A38)=Budget!$G$8,Budget!$F$8,0)</f>
        <v>0</v>
      </c>
      <c r="J38" s="17">
        <f>N("GA Power")-IF(DAY(A38)=Budget!$G$9,Budget!$F$9,0)</f>
        <v>0</v>
      </c>
      <c r="K38" s="17">
        <f>N("Haircut")-IF(DAY(A38)=Budget!$G$10,Budget!$F$10,0)</f>
        <v>0</v>
      </c>
      <c r="L38" s="17">
        <f>N("Groceries")-IF(DAY(A38)=Budget!$G$6,Budget!$F$6,0)</f>
        <v>-300</v>
      </c>
      <c r="M38" s="17">
        <f>N("Savings")-IF(DAY(A38)=Budget!$G$7,Budget!$F$7,0)</f>
        <v>0</v>
      </c>
      <c r="N38" s="17">
        <f>N("Car Insurance")-COUNTIF(Budget!$G$14, A38)*Budget!$F$14</f>
        <v>0</v>
      </c>
      <c r="O38" s="17">
        <f>N("Phone Bill")-COUNTIF(Budget!$G$15, A38)*Budget!$F$15</f>
        <v>0</v>
      </c>
      <c r="Q38" s="17">
        <f>N("Spotify")-IF(AND(DAY($A38)=Budget!$M$3, MONTH($A38)=Budget!$L$3),Budget!$K$3,0)</f>
        <v>0</v>
      </c>
      <c r="R38" s="17">
        <f>N("Spotify")-IF(AND(DAY($A38)=Budget!$M$4, MONTH($A38)=Budget!$L$4),Budget!$K$4,0)</f>
        <v>0</v>
      </c>
      <c r="S38" s="17">
        <f>N("Spotify")-IF(AND(DAY($A38)=Budget!$M$5, MONTH($A38)=Budget!$L$5),Budget!$K$5,0)</f>
        <v>0</v>
      </c>
      <c r="T38" s="17">
        <f>N("Amazon Prime")-IF(DAY(A38)=Budget!$Q$3,Budget!$P$3,0)</f>
        <v>0</v>
      </c>
      <c r="U38" s="17">
        <f>N("Audible")-IF(DAY(A38)=Budget!$Q$12,Budget!$P$12,0)</f>
        <v>0</v>
      </c>
      <c r="V38" s="17">
        <f>N("Crunchyroll")-IF(DAY(A38)=Budget!$Q$5,Budget!$P$5,0)</f>
        <v>0</v>
      </c>
      <c r="W38" s="17">
        <f>N("HBO Max")-IF(DAY(A38)=Budget!$Q$6,Budget!$P$6,0)</f>
        <v>0</v>
      </c>
      <c r="X38" s="17">
        <f>N("Netflix")-IF(DAY(A38)=Budget!$Q$7,Budget!$P$7,0)</f>
        <v>0</v>
      </c>
      <c r="Y38" s="17">
        <f>N("Spotify")-IF(DAY(A38)=Budget!$Q$8,Budget!$P$8,0)</f>
        <v>0</v>
      </c>
      <c r="Z38" s="17">
        <f>N("Truebill")-IF(DAY(A38)=Budget!$Q$9,Budget!$P$9,0)</f>
        <v>0</v>
      </c>
      <c r="AA38" s="6">
        <f t="shared" si="4"/>
        <v>-803.35</v>
      </c>
    </row>
    <row r="39" spans="1:30" x14ac:dyDescent="0.3">
      <c r="A39" s="4">
        <f t="shared" si="5"/>
        <v>45691</v>
      </c>
      <c r="B39" s="2">
        <f t="shared" si="6"/>
        <v>108.05000000000007</v>
      </c>
      <c r="C39" s="7">
        <f t="shared" si="7"/>
        <v>1</v>
      </c>
      <c r="D39" s="1">
        <v>0</v>
      </c>
      <c r="E39" s="17">
        <f>N("PAY-LM")+IF(WEEKDAY(A39)=Budget!$C$3,Budget!$B$3,0)</f>
        <v>0</v>
      </c>
      <c r="F39" s="17">
        <f>N("Rent")-IF(DAY(A39)=Budget!$G$3,Budget!$F$3,0)</f>
        <v>0</v>
      </c>
      <c r="G39" s="17">
        <f>N("Car")-IF(DAY(A39)=Budget!$G$4,Budget!$F$4+Budget!$H$4,0)</f>
        <v>0</v>
      </c>
      <c r="H39" s="17">
        <f>N("Mom Rent")-IF(DAY(A39)=Budget!$G$5,Budget!$F$5,0)</f>
        <v>0</v>
      </c>
      <c r="I39" s="17">
        <f>N("AT&amp;T")-IF(DAY(A39)=Budget!$G$8,Budget!$F$8,0)</f>
        <v>0</v>
      </c>
      <c r="J39" s="17">
        <f>N("GA Power")-IF(DAY(A39)=Budget!$G$9,Budget!$F$9,0)</f>
        <v>0</v>
      </c>
      <c r="K39" s="17">
        <f>N("Haircut")-IF(DAY(A39)=Budget!$G$10,Budget!$F$10,0)</f>
        <v>0</v>
      </c>
      <c r="L39" s="17">
        <f>N("Groceries")-IF(DAY(A39)=Budget!$G$6,Budget!$F$6,0)</f>
        <v>0</v>
      </c>
      <c r="M39" s="17">
        <f>N("Savings")-IF(DAY(A39)=Budget!$G$7,Budget!$F$7,0)</f>
        <v>0</v>
      </c>
      <c r="N39" s="17">
        <f>N("Car Insurance")-COUNTIF(Budget!$G$14, A39)*Budget!$F$14</f>
        <v>0</v>
      </c>
      <c r="O39" s="17">
        <f>N("Phone Bill")-COUNTIF(Budget!$G$15, A39)*Budget!$F$15</f>
        <v>0</v>
      </c>
      <c r="Q39" s="17">
        <f>N("Spotify")-IF(AND(DAY($A39)=Budget!$M$3, MONTH($A39)=Budget!$L$3),Budget!$K$3,0)</f>
        <v>0</v>
      </c>
      <c r="R39" s="17">
        <f>N("Spotify")-IF(AND(DAY($A39)=Budget!$M$4, MONTH($A39)=Budget!$L$4),Budget!$K$4,0)</f>
        <v>0</v>
      </c>
      <c r="S39" s="17">
        <f>N("Spotify")-IF(AND(DAY($A39)=Budget!$M$5, MONTH($A39)=Budget!$L$5),Budget!$K$5,0)</f>
        <v>0</v>
      </c>
      <c r="T39" s="17">
        <f>N("Amazon Prime")-IF(DAY(A39)=Budget!$Q$3,Budget!$P$3,0)</f>
        <v>0</v>
      </c>
      <c r="U39" s="17">
        <f>N("Audible")-IF(DAY(A39)=Budget!$Q$12,Budget!$P$12,0)</f>
        <v>0</v>
      </c>
      <c r="V39" s="17">
        <f>N("Crunchyroll")-IF(DAY(A39)=Budget!$Q$5,Budget!$P$5,0)</f>
        <v>0</v>
      </c>
      <c r="W39" s="17">
        <f>N("HBO Max")-IF(DAY(A39)=Budget!$Q$6,Budget!$P$6,0)</f>
        <v>0</v>
      </c>
      <c r="X39" s="17">
        <f>N("Netflix")-IF(DAY(A39)=Budget!$Q$7,Budget!$P$7,0)</f>
        <v>0</v>
      </c>
      <c r="Y39" s="17">
        <f>N("Spotify")-IF(DAY(A39)=Budget!$Q$8,Budget!$P$8,0)</f>
        <v>0</v>
      </c>
      <c r="Z39" s="17">
        <f>N("Truebill")-IF(DAY(A39)=Budget!$Q$9,Budget!$P$9,0)</f>
        <v>0</v>
      </c>
      <c r="AA39" s="6">
        <f t="shared" si="4"/>
        <v>0</v>
      </c>
    </row>
    <row r="40" spans="1:30" x14ac:dyDescent="0.3">
      <c r="A40" s="4">
        <f t="shared" si="5"/>
        <v>45692</v>
      </c>
      <c r="B40" s="2">
        <f t="shared" si="6"/>
        <v>108.05000000000007</v>
      </c>
      <c r="C40" s="7">
        <f t="shared" si="7"/>
        <v>1</v>
      </c>
      <c r="D40" s="1">
        <v>0</v>
      </c>
      <c r="E40" s="17">
        <f>N("PAY-LM")+IF(WEEKDAY(A40)=Budget!$C$3,Budget!$B$3,0)</f>
        <v>0</v>
      </c>
      <c r="F40" s="17">
        <f>N("Rent")-IF(DAY(A40)=Budget!$G$3,Budget!$F$3,0)</f>
        <v>0</v>
      </c>
      <c r="G40" s="17">
        <f>N("Car")-IF(DAY(A40)=Budget!$G$4,Budget!$F$4+Budget!$H$4,0)</f>
        <v>0</v>
      </c>
      <c r="H40" s="17">
        <f>N("Mom Rent")-IF(DAY(A40)=Budget!$G$5,Budget!$F$5,0)</f>
        <v>0</v>
      </c>
      <c r="I40" s="17">
        <f>N("AT&amp;T")-IF(DAY(A40)=Budget!$G$8,Budget!$F$8,0)</f>
        <v>0</v>
      </c>
      <c r="J40" s="17">
        <f>N("GA Power")-IF(DAY(A40)=Budget!$G$9,Budget!$F$9,0)</f>
        <v>0</v>
      </c>
      <c r="K40" s="17">
        <f>N("Haircut")-IF(DAY(A40)=Budget!$G$10,Budget!$F$10,0)</f>
        <v>0</v>
      </c>
      <c r="L40" s="17">
        <f>N("Groceries")-IF(DAY(A40)=Budget!$G$6,Budget!$F$6,0)</f>
        <v>0</v>
      </c>
      <c r="M40" s="17">
        <f>N("Savings")-IF(DAY(A40)=Budget!$G$7,Budget!$F$7,0)</f>
        <v>0</v>
      </c>
      <c r="N40" s="17">
        <f>N("Car Insurance")-COUNTIF(Budget!$G$14, A40)*Budget!$F$14</f>
        <v>0</v>
      </c>
      <c r="O40" s="17">
        <f>N("Phone Bill")-COUNTIF(Budget!$G$15, A40)*Budget!$F$15</f>
        <v>0</v>
      </c>
      <c r="Q40" s="17">
        <f>N("Spotify")-IF(AND(DAY($A40)=Budget!$M$3, MONTH($A40)=Budget!$L$3),Budget!$K$3,0)</f>
        <v>0</v>
      </c>
      <c r="R40" s="17">
        <f>N("Spotify")-IF(AND(DAY($A40)=Budget!$M$4, MONTH($A40)=Budget!$L$4),Budget!$K$4,0)</f>
        <v>0</v>
      </c>
      <c r="S40" s="17">
        <f>N("Spotify")-IF(AND(DAY($A40)=Budget!$M$5, MONTH($A40)=Budget!$L$5),Budget!$K$5,0)</f>
        <v>0</v>
      </c>
      <c r="T40" s="17">
        <f>N("Amazon Prime")-IF(DAY(A40)=Budget!$Q$3,Budget!$P$3,0)</f>
        <v>0</v>
      </c>
      <c r="U40" s="17">
        <f>N("Audible")-IF(DAY(A40)=Budget!$Q$12,Budget!$P$12,0)</f>
        <v>0</v>
      </c>
      <c r="V40" s="17">
        <f>N("Crunchyroll")-IF(DAY(A40)=Budget!$Q$5,Budget!$P$5,0)</f>
        <v>0</v>
      </c>
      <c r="W40" s="17">
        <f>N("HBO Max")-IF(DAY(A40)=Budget!$Q$6,Budget!$P$6,0)</f>
        <v>0</v>
      </c>
      <c r="X40" s="17">
        <f>N("Netflix")-IF(DAY(A40)=Budget!$Q$7,Budget!$P$7,0)</f>
        <v>0</v>
      </c>
      <c r="Y40" s="17">
        <f>N("Spotify")-IF(DAY(A40)=Budget!$Q$8,Budget!$P$8,0)</f>
        <v>0</v>
      </c>
      <c r="Z40" s="17">
        <f>N("Truebill")-IF(DAY(A40)=Budget!$Q$9,Budget!$P$9,0)</f>
        <v>0</v>
      </c>
      <c r="AA40" s="6">
        <f t="shared" si="4"/>
        <v>0</v>
      </c>
    </row>
    <row r="41" spans="1:30" x14ac:dyDescent="0.3">
      <c r="A41" s="4">
        <f t="shared" si="5"/>
        <v>45693</v>
      </c>
      <c r="B41" s="2">
        <f t="shared" si="6"/>
        <v>38.050000000000068</v>
      </c>
      <c r="C41" s="7">
        <f t="shared" si="7"/>
        <v>0</v>
      </c>
      <c r="D41" s="1">
        <v>0</v>
      </c>
      <c r="E41" s="17">
        <f>N("PAY-LM")+IF(WEEKDAY(A41)=Budget!$C$3,Budget!$B$3,0)</f>
        <v>0</v>
      </c>
      <c r="F41" s="17">
        <f>N("Rent")-IF(DAY(A41)=Budget!$G$3,Budget!$F$3,0)</f>
        <v>0</v>
      </c>
      <c r="G41" s="17">
        <f>N("Car")-IF(DAY(A41)=Budget!$G$4,Budget!$F$4+Budget!$H$4,0)</f>
        <v>0</v>
      </c>
      <c r="H41" s="17">
        <f>N("Mom Rent")-IF(DAY(A41)=Budget!$G$5,Budget!$F$5,0)</f>
        <v>0</v>
      </c>
      <c r="I41" s="17">
        <f>N("AT&amp;T")-IF(DAY(A41)=Budget!$G$8,Budget!$F$8,0)</f>
        <v>0</v>
      </c>
      <c r="J41" s="17">
        <f>N("GA Power")-IF(DAY(A41)=Budget!$G$9,Budget!$F$9,0)</f>
        <v>-70</v>
      </c>
      <c r="K41" s="17">
        <f>N("Haircut")-IF(DAY(A41)=Budget!$G$10,Budget!$F$10,0)</f>
        <v>0</v>
      </c>
      <c r="L41" s="17">
        <f>N("Groceries")-IF(DAY(A41)=Budget!$G$6,Budget!$F$6,0)</f>
        <v>0</v>
      </c>
      <c r="M41" s="17">
        <f>N("Savings")-IF(DAY(A41)=Budget!$G$7,Budget!$F$7,0)</f>
        <v>0</v>
      </c>
      <c r="N41" s="17">
        <f>N("Car Insurance")-COUNTIF(Budget!$G$14, A41)*Budget!$F$14</f>
        <v>0</v>
      </c>
      <c r="O41" s="17">
        <f>N("Phone Bill")-COUNTIF(Budget!$G$15, A41)*Budget!$F$15</f>
        <v>0</v>
      </c>
      <c r="Q41" s="17">
        <f>N("Spotify")-IF(AND(DAY($A41)=Budget!$M$3, MONTH($A41)=Budget!$L$3),Budget!$K$3,0)</f>
        <v>0</v>
      </c>
      <c r="R41" s="17">
        <f>N("Spotify")-IF(AND(DAY($A41)=Budget!$M$4, MONTH($A41)=Budget!$L$4),Budget!$K$4,0)</f>
        <v>0</v>
      </c>
      <c r="S41" s="17">
        <f>N("Spotify")-IF(AND(DAY($A41)=Budget!$M$5, MONTH($A41)=Budget!$L$5),Budget!$K$5,0)</f>
        <v>0</v>
      </c>
      <c r="T41" s="17">
        <f>N("Amazon Prime")-IF(DAY(A41)=Budget!$Q$3,Budget!$P$3,0)</f>
        <v>0</v>
      </c>
      <c r="U41" s="17">
        <f>N("Audible")-IF(DAY(A41)=Budget!$Q$12,Budget!$P$12,0)</f>
        <v>0</v>
      </c>
      <c r="V41" s="17">
        <f>N("Crunchyroll")-IF(DAY(A41)=Budget!$Q$5,Budget!$P$5,0)</f>
        <v>0</v>
      </c>
      <c r="W41" s="17">
        <f>N("HBO Max")-IF(DAY(A41)=Budget!$Q$6,Budget!$P$6,0)</f>
        <v>0</v>
      </c>
      <c r="X41" s="17">
        <f>N("Netflix")-IF(DAY(A41)=Budget!$Q$7,Budget!$P$7,0)</f>
        <v>0</v>
      </c>
      <c r="Y41" s="17">
        <f>N("Spotify")-IF(DAY(A41)=Budget!$Q$8,Budget!$P$8,0)</f>
        <v>0</v>
      </c>
      <c r="Z41" s="17">
        <f>N("Truebill")-IF(DAY(A41)=Budget!$Q$9,Budget!$P$9,0)</f>
        <v>0</v>
      </c>
      <c r="AA41" s="6">
        <f t="shared" si="4"/>
        <v>-70</v>
      </c>
    </row>
    <row r="42" spans="1:30" x14ac:dyDescent="0.3">
      <c r="A42" s="4">
        <f t="shared" si="5"/>
        <v>45694</v>
      </c>
      <c r="B42" s="2">
        <v>362.43</v>
      </c>
      <c r="C42" s="7">
        <f t="shared" si="7"/>
        <v>2</v>
      </c>
      <c r="D42" s="1">
        <v>0</v>
      </c>
      <c r="E42" s="17">
        <f>N("PAY-LM")+IF(WEEKDAY(A42)=Budget!$C$3,Budget!$B$3,0)</f>
        <v>0</v>
      </c>
      <c r="F42" s="17">
        <f>N("Rent")-IF(DAY(A42)=Budget!$G$3,Budget!$F$3,0)</f>
        <v>0</v>
      </c>
      <c r="G42" s="17">
        <f>N("Car")-IF(DAY(A42)=Budget!$G$4,Budget!$F$4+Budget!$H$4,0)</f>
        <v>0</v>
      </c>
      <c r="H42" s="17">
        <f>N("Mom Rent")-IF(DAY(A42)=Budget!$G$5,Budget!$F$5,0)</f>
        <v>0</v>
      </c>
      <c r="I42" s="17">
        <f>N("AT&amp;T")-IF(DAY(A42)=Budget!$G$8,Budget!$F$8,0)</f>
        <v>0</v>
      </c>
      <c r="J42" s="17">
        <f>N("GA Power")-IF(DAY(A42)=Budget!$G$9,Budget!$F$9,0)</f>
        <v>0</v>
      </c>
      <c r="K42" s="17">
        <f>N("Haircut")-IF(DAY(A42)=Budget!$G$10,Budget!$F$10,0)</f>
        <v>0</v>
      </c>
      <c r="L42" s="17">
        <f>N("Groceries")-IF(DAY(A42)=Budget!$G$6,Budget!$F$6,0)</f>
        <v>0</v>
      </c>
      <c r="M42" s="17">
        <f>N("Savings")-IF(DAY(A42)=Budget!$G$7,Budget!$F$7,0)</f>
        <v>0</v>
      </c>
      <c r="N42" s="17">
        <f>N("Car Insurance")-COUNTIF(Budget!$G$14, A42)*Budget!$F$14</f>
        <v>0</v>
      </c>
      <c r="O42" s="17">
        <f>N("Phone Bill")-COUNTIF(Budget!$G$15, A42)*Budget!$F$15</f>
        <v>0</v>
      </c>
      <c r="Q42" s="17">
        <f>N("Spotify")-IF(AND(DAY($A42)=Budget!$M$3, MONTH($A42)=Budget!$L$3),Budget!$K$3,0)</f>
        <v>0</v>
      </c>
      <c r="R42" s="17">
        <f>N("Spotify")-IF(AND(DAY($A42)=Budget!$M$4, MONTH($A42)=Budget!$L$4),Budget!$K$4,0)</f>
        <v>0</v>
      </c>
      <c r="S42" s="17">
        <f>N("Spotify")-IF(AND(DAY($A42)=Budget!$M$5, MONTH($A42)=Budget!$L$5),Budget!$K$5,0)</f>
        <v>0</v>
      </c>
      <c r="T42" s="17">
        <f>N("Amazon Prime")-IF(DAY(A42)=Budget!$Q$3,Budget!$P$3,0)</f>
        <v>0</v>
      </c>
      <c r="U42" s="17">
        <f>N("Audible")-IF(DAY(A42)=Budget!$Q$12,Budget!$P$12,0)</f>
        <v>0</v>
      </c>
      <c r="V42" s="17">
        <f>N("Crunchyroll")-IF(DAY(A42)=Budget!$Q$5,Budget!$P$5,0)</f>
        <v>0</v>
      </c>
      <c r="W42" s="17">
        <f>N("HBO Max")-IF(DAY(A42)=Budget!$Q$6,Budget!$P$6,0)</f>
        <v>0</v>
      </c>
      <c r="X42" s="17">
        <f>N("Netflix")-IF(DAY(A42)=Budget!$Q$7,Budget!$P$7,0)</f>
        <v>0</v>
      </c>
      <c r="Y42" s="17">
        <f>N("Spotify")-IF(DAY(A42)=Budget!$Q$8,Budget!$P$8,0)</f>
        <v>0</v>
      </c>
      <c r="Z42" s="17">
        <f>N("Truebill")-IF(DAY(A42)=Budget!$Q$9,Budget!$P$9,0)</f>
        <v>0</v>
      </c>
      <c r="AA42" s="6">
        <f t="shared" si="4"/>
        <v>0</v>
      </c>
    </row>
    <row r="43" spans="1:30" x14ac:dyDescent="0.3">
      <c r="A43" s="4">
        <f t="shared" si="5"/>
        <v>45695</v>
      </c>
      <c r="B43" s="2">
        <f t="shared" si="6"/>
        <v>1815.43</v>
      </c>
      <c r="C43" s="7">
        <f t="shared" si="7"/>
        <v>2</v>
      </c>
      <c r="D43" s="1">
        <v>0</v>
      </c>
      <c r="E43" s="17">
        <f>N("PAY-LM")+IF(WEEKDAY(A43)=Budget!$C$3,Budget!$B$3,0)</f>
        <v>1453</v>
      </c>
      <c r="F43" s="17">
        <f>N("Rent")-IF(DAY(A43)=Budget!$G$3,Budget!$F$3,0)</f>
        <v>0</v>
      </c>
      <c r="G43" s="17">
        <f>N("Car")-IF(DAY(A43)=Budget!$G$4,Budget!$F$4+Budget!$H$4,0)</f>
        <v>0</v>
      </c>
      <c r="H43" s="17">
        <f>N("Mom Rent")-IF(DAY(A43)=Budget!$G$5,Budget!$F$5,0)</f>
        <v>0</v>
      </c>
      <c r="I43" s="17">
        <f>N("AT&amp;T")-IF(DAY(A43)=Budget!$G$8,Budget!$F$8,0)</f>
        <v>0</v>
      </c>
      <c r="J43" s="17">
        <f>N("GA Power")-IF(DAY(A43)=Budget!$G$9,Budget!$F$9,0)</f>
        <v>0</v>
      </c>
      <c r="K43" s="17">
        <f>N("Haircut")-IF(DAY(A43)=Budget!$G$10,Budget!$F$10,0)</f>
        <v>0</v>
      </c>
      <c r="L43" s="17">
        <f>N("Groceries")-IF(DAY(A43)=Budget!$G$6,Budget!$F$6,0)</f>
        <v>0</v>
      </c>
      <c r="M43" s="17">
        <f>N("Savings")-IF(DAY(A43)=Budget!$G$7,Budget!$F$7,0)</f>
        <v>0</v>
      </c>
      <c r="N43" s="17">
        <f>N("Car Insurance")-COUNTIF(Budget!$G$14, A43)*Budget!$F$14</f>
        <v>0</v>
      </c>
      <c r="O43" s="17">
        <f>N("Phone Bill")-COUNTIF(Budget!$G$15, A43)*Budget!$F$15</f>
        <v>0</v>
      </c>
      <c r="Q43" s="17">
        <f>N("Spotify")-IF(AND(DAY($A43)=Budget!$M$3, MONTH($A43)=Budget!$L$3),Budget!$K$3,0)</f>
        <v>0</v>
      </c>
      <c r="R43" s="17">
        <f>N("Spotify")-IF(AND(DAY($A43)=Budget!$M$4, MONTH($A43)=Budget!$L$4),Budget!$K$4,0)</f>
        <v>0</v>
      </c>
      <c r="S43" s="17">
        <f>N("Spotify")-IF(AND(DAY($A43)=Budget!$M$5, MONTH($A43)=Budget!$L$5),Budget!$K$5,0)</f>
        <v>0</v>
      </c>
      <c r="T43" s="17">
        <f>N("Amazon Prime")-IF(DAY(A43)=Budget!$Q$3,Budget!$P$3,0)</f>
        <v>0</v>
      </c>
      <c r="U43" s="17">
        <f>N("Audible")-IF(DAY(A43)=Budget!$Q$12,Budget!$P$12,0)</f>
        <v>0</v>
      </c>
      <c r="V43" s="17">
        <f>N("Crunchyroll")-IF(DAY(A43)=Budget!$Q$5,Budget!$P$5,0)</f>
        <v>0</v>
      </c>
      <c r="W43" s="17">
        <f>N("HBO Max")-IF(DAY(A43)=Budget!$Q$6,Budget!$P$6,0)</f>
        <v>0</v>
      </c>
      <c r="X43" s="17">
        <f>N("Netflix")-IF(DAY(A43)=Budget!$Q$7,Budget!$P$7,0)</f>
        <v>0</v>
      </c>
      <c r="Y43" s="17">
        <f>N("Spotify")-IF(DAY(A43)=Budget!$Q$8,Budget!$P$8,0)</f>
        <v>0</v>
      </c>
      <c r="Z43" s="17">
        <f>N("Truebill")-IF(DAY(A43)=Budget!$Q$9,Budget!$P$9,0)</f>
        <v>0</v>
      </c>
      <c r="AA43" s="6">
        <f t="shared" si="4"/>
        <v>1453</v>
      </c>
    </row>
    <row r="44" spans="1:30" x14ac:dyDescent="0.3">
      <c r="A44" s="4">
        <f t="shared" si="5"/>
        <v>45696</v>
      </c>
      <c r="B44" s="2">
        <f t="shared" si="6"/>
        <v>1795.96</v>
      </c>
      <c r="C44" s="7">
        <f t="shared" si="7"/>
        <v>0</v>
      </c>
      <c r="D44" s="1">
        <v>0</v>
      </c>
      <c r="E44" s="17">
        <f>N("PAY-LM")+IF(WEEKDAY(A44)=Budget!$C$3,Budget!$B$3,0)</f>
        <v>0</v>
      </c>
      <c r="F44" s="17">
        <f>N("Rent")-IF(DAY(A44)=Budget!$G$3,Budget!$F$3,0)</f>
        <v>0</v>
      </c>
      <c r="G44" s="17">
        <f>N("Car")-IF(DAY(A44)=Budget!$G$4,Budget!$F$4+Budget!$H$4,0)</f>
        <v>0</v>
      </c>
      <c r="H44" s="17">
        <f>N("Mom Rent")-IF(DAY(A44)=Budget!$G$5,Budget!$F$5,0)</f>
        <v>0</v>
      </c>
      <c r="I44" s="17">
        <f>N("AT&amp;T")-IF(DAY(A44)=Budget!$G$8,Budget!$F$8,0)</f>
        <v>0</v>
      </c>
      <c r="J44" s="17">
        <f>N("GA Power")-IF(DAY(A44)=Budget!$G$9,Budget!$F$9,0)</f>
        <v>0</v>
      </c>
      <c r="K44" s="17">
        <f>N("Haircut")-IF(DAY(A44)=Budget!$G$10,Budget!$F$10,0)</f>
        <v>0</v>
      </c>
      <c r="L44" s="17">
        <f>N("Groceries")-IF(DAY(A44)=Budget!$G$6,Budget!$F$6,0)</f>
        <v>0</v>
      </c>
      <c r="M44" s="17">
        <f>N("Savings")-IF(DAY(A44)=Budget!$G$7,Budget!$F$7,0)</f>
        <v>0</v>
      </c>
      <c r="N44" s="17">
        <f>N("Car Insurance")-COUNTIF(Budget!$G$14, A44)*Budget!$F$14</f>
        <v>0</v>
      </c>
      <c r="O44" s="17">
        <f>N("Phone Bill")-COUNTIF(Budget!$G$15, A44)*Budget!$F$15</f>
        <v>0</v>
      </c>
      <c r="Q44" s="17">
        <f>N("Spotify")-IF(AND(DAY($A44)=Budget!$M$3, MONTH($A44)=Budget!$L$3),Budget!$K$3,0)</f>
        <v>0</v>
      </c>
      <c r="R44" s="17">
        <f>N("Spotify")-IF(AND(DAY($A44)=Budget!$M$4, MONTH($A44)=Budget!$L$4),Budget!$K$4,0)</f>
        <v>0</v>
      </c>
      <c r="S44" s="17">
        <f>N("Spotify")-IF(AND(DAY($A44)=Budget!$M$5, MONTH($A44)=Budget!$L$5),Budget!$K$5,0)</f>
        <v>0</v>
      </c>
      <c r="T44" s="17">
        <f>N("Amazon Prime")-IF(DAY(A44)=Budget!$Q$3,Budget!$P$3,0)</f>
        <v>-7.48</v>
      </c>
      <c r="U44" s="17">
        <f>N("Audible")-IF(DAY(A44)=Budget!$Q$12,Budget!$P$12,0)</f>
        <v>0</v>
      </c>
      <c r="V44" s="17">
        <f>N("Crunchyroll")-IF(DAY(A44)=Budget!$Q$5,Budget!$P$5,0)</f>
        <v>0</v>
      </c>
      <c r="W44" s="17">
        <f>N("HBO Max")-IF(DAY(A44)=Budget!$Q$6,Budget!$P$6,0)</f>
        <v>-11.99</v>
      </c>
      <c r="X44" s="17">
        <f>N("Netflix")-IF(DAY(A44)=Budget!$Q$7,Budget!$P$7,0)</f>
        <v>0</v>
      </c>
      <c r="Y44" s="17">
        <f>N("Spotify")-IF(DAY(A44)=Budget!$Q$8,Budget!$P$8,0)</f>
        <v>0</v>
      </c>
      <c r="Z44" s="17">
        <f>N("Truebill")-IF(DAY(A44)=Budget!$Q$9,Budget!$P$9,0)</f>
        <v>0</v>
      </c>
      <c r="AA44" s="6">
        <f t="shared" si="4"/>
        <v>-19.47</v>
      </c>
    </row>
    <row r="45" spans="1:30" x14ac:dyDescent="0.3">
      <c r="A45" s="4">
        <f t="shared" si="5"/>
        <v>45697</v>
      </c>
      <c r="B45" s="2">
        <f>1479.77</f>
        <v>1479.77</v>
      </c>
      <c r="C45" s="7">
        <f t="shared" si="7"/>
        <v>0</v>
      </c>
      <c r="D45" s="1">
        <v>0</v>
      </c>
      <c r="E45" s="17">
        <f>N("PAY-LM")+IF(WEEKDAY(A45)=Budget!$C$3,Budget!$B$3,0)</f>
        <v>0</v>
      </c>
      <c r="F45" s="17">
        <f>N("Rent")-IF(DAY(A45)=Budget!$G$3,Budget!$F$3,0)</f>
        <v>0</v>
      </c>
      <c r="G45" s="17">
        <f>N("Car")-IF(DAY(A45)=Budget!$G$4,Budget!$F$4+Budget!$H$4,0)</f>
        <v>0</v>
      </c>
      <c r="H45" s="17">
        <f>N("Mom Rent")-IF(DAY(A45)=Budget!$G$5,Budget!$F$5,0)</f>
        <v>0</v>
      </c>
      <c r="I45" s="17">
        <f>N("AT&amp;T")-IF(DAY(A45)=Budget!$G$8,Budget!$F$8,0)</f>
        <v>0</v>
      </c>
      <c r="J45" s="17">
        <f>N("GA Power")-IF(DAY(A45)=Budget!$G$9,Budget!$F$9,0)</f>
        <v>0</v>
      </c>
      <c r="K45" s="17">
        <f>N("Haircut")-IF(DAY(A45)=Budget!$G$10,Budget!$F$10,0)</f>
        <v>0</v>
      </c>
      <c r="L45" s="17">
        <f>N("Groceries")-IF(DAY(A45)=Budget!$G$6,Budget!$F$6,0)</f>
        <v>0</v>
      </c>
      <c r="M45" s="17">
        <f>N("Savings")-IF(DAY(A45)=Budget!$G$7,Budget!$F$7,0)</f>
        <v>0</v>
      </c>
      <c r="N45" s="17">
        <f>N("Car Insurance")-COUNTIF(Budget!$G$14, A45)*Budget!$F$14</f>
        <v>0</v>
      </c>
      <c r="O45" s="17">
        <f>N("Phone Bill")-COUNTIF(Budget!$G$15, A45)*Budget!$F$15</f>
        <v>0</v>
      </c>
      <c r="Q45" s="17">
        <f>N("Spotify")-IF(AND(DAY($A45)=Budget!$M$3, MONTH($A45)=Budget!$L$3),Budget!$K$3,0)</f>
        <v>0</v>
      </c>
      <c r="R45" s="17">
        <f>N("Spotify")-IF(AND(DAY($A45)=Budget!$M$4, MONTH($A45)=Budget!$L$4),Budget!$K$4,0)</f>
        <v>0</v>
      </c>
      <c r="S45" s="17">
        <f>N("Spotify")-IF(AND(DAY($A45)=Budget!$M$5, MONTH($A45)=Budget!$L$5),Budget!$K$5,0)</f>
        <v>0</v>
      </c>
      <c r="T45" s="17">
        <f>N("Amazon Prime")-IF(DAY(A45)=Budget!$Q$3,Budget!$P$3,0)</f>
        <v>0</v>
      </c>
      <c r="U45" s="17">
        <f>N("Audible")-IF(DAY(A45)=Budget!$Q$12,Budget!$P$12,0)</f>
        <v>0</v>
      </c>
      <c r="V45" s="17">
        <f>N("Crunchyroll")-IF(DAY(A45)=Budget!$Q$5,Budget!$P$5,0)</f>
        <v>0</v>
      </c>
      <c r="W45" s="17">
        <f>N("HBO Max")-IF(DAY(A45)=Budget!$Q$6,Budget!$P$6,0)</f>
        <v>0</v>
      </c>
      <c r="X45" s="17">
        <f>N("Netflix")-IF(DAY(A45)=Budget!$Q$7,Budget!$P$7,0)</f>
        <v>0</v>
      </c>
      <c r="Y45" s="17">
        <f>N("Spotify")-IF(DAY(A45)=Budget!$Q$8,Budget!$P$8,0)</f>
        <v>0</v>
      </c>
      <c r="Z45" s="17">
        <f>N("Truebill")-IF(DAY(A45)=Budget!$Q$9,Budget!$P$9,0)</f>
        <v>0</v>
      </c>
      <c r="AA45" s="6">
        <f t="shared" si="4"/>
        <v>0</v>
      </c>
    </row>
    <row r="46" spans="1:30" x14ac:dyDescent="0.3">
      <c r="A46" s="4">
        <f t="shared" si="5"/>
        <v>45698</v>
      </c>
      <c r="B46" s="2">
        <f t="shared" si="6"/>
        <v>1318.77</v>
      </c>
      <c r="C46" s="7">
        <f t="shared" si="7"/>
        <v>0</v>
      </c>
      <c r="D46" s="1">
        <v>-161</v>
      </c>
      <c r="E46" s="17">
        <f>N("PAY-LM")+IF(WEEKDAY(A46)=Budget!$C$3,Budget!$B$3,0)</f>
        <v>0</v>
      </c>
      <c r="F46" s="17">
        <f>N("Rent")-IF(DAY(A46)=Budget!$G$3,Budget!$F$3,0)</f>
        <v>0</v>
      </c>
      <c r="G46" s="17">
        <f>N("Car")-IF(DAY(A46)=Budget!$G$4,Budget!$F$4+Budget!$H$4,0)</f>
        <v>0</v>
      </c>
      <c r="H46" s="17">
        <f>N("Mom Rent")-IF(DAY(A46)=Budget!$G$5,Budget!$F$5,0)</f>
        <v>0</v>
      </c>
      <c r="I46" s="17">
        <f>N("AT&amp;T")-IF(DAY(A46)=Budget!$G$8,Budget!$F$8,0)</f>
        <v>0</v>
      </c>
      <c r="J46" s="17">
        <f>N("GA Power")-IF(DAY(A46)=Budget!$G$9,Budget!$F$9,0)</f>
        <v>0</v>
      </c>
      <c r="K46" s="17">
        <f>N("Haircut")-IF(DAY(A46)=Budget!$G$10,Budget!$F$10,0)</f>
        <v>0</v>
      </c>
      <c r="L46" s="17">
        <f>N("Groceries")-IF(DAY(A46)=Budget!$G$6,Budget!$F$6,0)</f>
        <v>0</v>
      </c>
      <c r="M46" s="17">
        <f>N("Savings")-IF(DAY(A46)=Budget!$G$7,Budget!$F$7,0)</f>
        <v>0</v>
      </c>
      <c r="N46" s="17">
        <f>N("Car Insurance")-COUNTIF(Budget!$G$14, A46)*Budget!$F$14</f>
        <v>0</v>
      </c>
      <c r="O46" s="17">
        <f>N("Phone Bill")-COUNTIF(Budget!$G$15, A46)*Budget!$F$15</f>
        <v>0</v>
      </c>
      <c r="Q46" s="17">
        <f>N("Spotify")-IF(AND(DAY($A46)=Budget!$M$3, MONTH($A46)=Budget!$L$3),Budget!$K$3,0)</f>
        <v>0</v>
      </c>
      <c r="R46" s="17">
        <f>N("Spotify")-IF(AND(DAY($A46)=Budget!$M$4, MONTH($A46)=Budget!$L$4),Budget!$K$4,0)</f>
        <v>0</v>
      </c>
      <c r="S46" s="17">
        <f>N("Spotify")-IF(AND(DAY($A46)=Budget!$M$5, MONTH($A46)=Budget!$L$5),Budget!$K$5,0)</f>
        <v>0</v>
      </c>
      <c r="T46" s="17">
        <f>N("Amazon Prime")-IF(DAY(A46)=Budget!$Q$3,Budget!$P$3,0)</f>
        <v>0</v>
      </c>
      <c r="U46" s="17">
        <f>N("Audible")-IF(DAY(A46)=Budget!$Q$12,Budget!$P$12,0)</f>
        <v>0</v>
      </c>
      <c r="V46" s="17">
        <f>N("Crunchyroll")-IF(DAY(A46)=Budget!$Q$5,Budget!$P$5,0)</f>
        <v>0</v>
      </c>
      <c r="W46" s="17">
        <f>N("HBO Max")-IF(DAY(A46)=Budget!$Q$6,Budget!$P$6,0)</f>
        <v>0</v>
      </c>
      <c r="X46" s="17">
        <f>N("Netflix")-IF(DAY(A46)=Budget!$Q$7,Budget!$P$7,0)</f>
        <v>0</v>
      </c>
      <c r="Y46" s="17">
        <f>N("Spotify")-IF(DAY(A46)=Budget!$Q$8,Budget!$P$8,0)</f>
        <v>0</v>
      </c>
      <c r="Z46" s="17">
        <f>N("Truebill")-IF(DAY(A46)=Budget!$Q$9,Budget!$P$9,0)</f>
        <v>0</v>
      </c>
      <c r="AA46" s="6">
        <f t="shared" si="4"/>
        <v>-161</v>
      </c>
    </row>
    <row r="47" spans="1:30" x14ac:dyDescent="0.3">
      <c r="A47" s="4">
        <f t="shared" si="5"/>
        <v>45699</v>
      </c>
      <c r="B47" s="2">
        <f t="shared" si="6"/>
        <v>1318.77</v>
      </c>
      <c r="C47" s="7">
        <f t="shared" si="7"/>
        <v>1</v>
      </c>
      <c r="D47" s="1">
        <v>0</v>
      </c>
      <c r="E47" s="17">
        <f>N("PAY-LM")+IF(WEEKDAY(A47)=Budget!$C$3,Budget!$B$3,0)</f>
        <v>0</v>
      </c>
      <c r="F47" s="17">
        <f>N("Rent")-IF(DAY(A47)=Budget!$G$3,Budget!$F$3,0)</f>
        <v>0</v>
      </c>
      <c r="G47" s="17">
        <f>N("Car")-IF(DAY(A47)=Budget!$G$4,Budget!$F$4+Budget!$H$4,0)</f>
        <v>0</v>
      </c>
      <c r="H47" s="17">
        <f>N("Mom Rent")-IF(DAY(A47)=Budget!$G$5,Budget!$F$5,0)</f>
        <v>0</v>
      </c>
      <c r="I47" s="17">
        <f>N("AT&amp;T")-IF(DAY(A47)=Budget!$G$8,Budget!$F$8,0)</f>
        <v>0</v>
      </c>
      <c r="J47" s="17">
        <f>N("GA Power")-IF(DAY(A47)=Budget!$G$9,Budget!$F$9,0)</f>
        <v>0</v>
      </c>
      <c r="K47" s="17">
        <f>N("Haircut")-IF(DAY(A47)=Budget!$G$10,Budget!$F$10,0)</f>
        <v>0</v>
      </c>
      <c r="L47" s="17">
        <f>N("Groceries")-IF(DAY(A47)=Budget!$G$6,Budget!$F$6,0)</f>
        <v>0</v>
      </c>
      <c r="M47" s="17">
        <f>N("Savings")-IF(DAY(A47)=Budget!$G$7,Budget!$F$7,0)</f>
        <v>0</v>
      </c>
      <c r="N47" s="17">
        <f>N("Car Insurance")-COUNTIF(Budget!$G$14, A47)*Budget!$F$14</f>
        <v>0</v>
      </c>
      <c r="O47" s="17">
        <f>N("Phone Bill")-COUNTIF(Budget!$G$15, A47)*Budget!$F$15</f>
        <v>0</v>
      </c>
      <c r="Q47" s="17">
        <f>N("Spotify")-IF(AND(DAY($A47)=Budget!$M$3, MONTH($A47)=Budget!$L$3),Budget!$K$3,0)</f>
        <v>0</v>
      </c>
      <c r="R47" s="17">
        <f>N("Spotify")-IF(AND(DAY($A47)=Budget!$M$4, MONTH($A47)=Budget!$L$4),Budget!$K$4,0)</f>
        <v>0</v>
      </c>
      <c r="S47" s="17">
        <f>N("Spotify")-IF(AND(DAY($A47)=Budget!$M$5, MONTH($A47)=Budget!$L$5),Budget!$K$5,0)</f>
        <v>0</v>
      </c>
      <c r="T47" s="17">
        <f>N("Amazon Prime")-IF(DAY(A47)=Budget!$Q$3,Budget!$P$3,0)</f>
        <v>0</v>
      </c>
      <c r="U47" s="17">
        <f>N("Audible")-IF(DAY(A47)=Budget!$Q$12,Budget!$P$12,0)</f>
        <v>0</v>
      </c>
      <c r="V47" s="17">
        <f>N("Crunchyroll")-IF(DAY(A47)=Budget!$Q$5,Budget!$P$5,0)</f>
        <v>0</v>
      </c>
      <c r="W47" s="17">
        <f>N("HBO Max")-IF(DAY(A47)=Budget!$Q$6,Budget!$P$6,0)</f>
        <v>0</v>
      </c>
      <c r="X47" s="17">
        <f>N("Netflix")-IF(DAY(A47)=Budget!$Q$7,Budget!$P$7,0)</f>
        <v>0</v>
      </c>
      <c r="Y47" s="17">
        <f>N("Spotify")-IF(DAY(A47)=Budget!$Q$8,Budget!$P$8,0)</f>
        <v>0</v>
      </c>
      <c r="Z47" s="17">
        <f>N("Truebill")-IF(DAY(A47)=Budget!$Q$9,Budget!$P$9,0)</f>
        <v>0</v>
      </c>
      <c r="AA47" s="6">
        <f t="shared" si="4"/>
        <v>0</v>
      </c>
    </row>
    <row r="48" spans="1:30" x14ac:dyDescent="0.3">
      <c r="A48" s="4">
        <f t="shared" si="5"/>
        <v>45700</v>
      </c>
      <c r="B48" s="2">
        <f t="shared" si="6"/>
        <v>1312.77</v>
      </c>
      <c r="C48" s="7">
        <f t="shared" si="7"/>
        <v>0</v>
      </c>
      <c r="D48" s="1">
        <v>0</v>
      </c>
      <c r="E48" s="17">
        <f>N("PAY-LM")+IF(WEEKDAY(A48)=Budget!$C$3,Budget!$B$3,0)</f>
        <v>0</v>
      </c>
      <c r="F48" s="17">
        <f>N("Rent")-IF(DAY(A48)=Budget!$G$3,Budget!$F$3,0)</f>
        <v>0</v>
      </c>
      <c r="G48" s="17">
        <f>N("Car")-IF(DAY(A48)=Budget!$G$4,Budget!$F$4+Budget!$H$4,0)</f>
        <v>0</v>
      </c>
      <c r="H48" s="17">
        <f>N("Mom Rent")-IF(DAY(A48)=Budget!$G$5,Budget!$F$5,0)</f>
        <v>0</v>
      </c>
      <c r="I48" s="17">
        <f>N("AT&amp;T")-IF(DAY(A48)=Budget!$G$8,Budget!$F$8,0)</f>
        <v>0</v>
      </c>
      <c r="J48" s="17">
        <f>N("GA Power")-IF(DAY(A48)=Budget!$G$9,Budget!$F$9,0)</f>
        <v>0</v>
      </c>
      <c r="K48" s="17">
        <f>N("Haircut")-IF(DAY(A48)=Budget!$G$10,Budget!$F$10,0)</f>
        <v>0</v>
      </c>
      <c r="L48" s="17">
        <f>N("Groceries")-IF(DAY(A48)=Budget!$G$6,Budget!$F$6,0)</f>
        <v>0</v>
      </c>
      <c r="M48" s="17">
        <f>N("Savings")-IF(DAY(A48)=Budget!$G$7,Budget!$F$7,0)</f>
        <v>0</v>
      </c>
      <c r="N48" s="17">
        <f>N("Car Insurance")-COUNTIF(Budget!$G$14, A48)*Budget!$F$14</f>
        <v>0</v>
      </c>
      <c r="O48" s="17">
        <f>N("Phone Bill")-COUNTIF(Budget!$G$15, A48)*Budget!$F$15</f>
        <v>0</v>
      </c>
      <c r="Q48" s="17">
        <f>N("Spotify")-IF(AND(DAY($A48)=Budget!$M$3, MONTH($A48)=Budget!$L$3),Budget!$K$3,0)</f>
        <v>0</v>
      </c>
      <c r="R48" s="17">
        <f>N("Spotify")-IF(AND(DAY($A48)=Budget!$M$4, MONTH($A48)=Budget!$L$4),Budget!$K$4,0)</f>
        <v>0</v>
      </c>
      <c r="S48" s="17">
        <f>N("Spotify")-IF(AND(DAY($A48)=Budget!$M$5, MONTH($A48)=Budget!$L$5),Budget!$K$5,0)</f>
        <v>0</v>
      </c>
      <c r="T48" s="17">
        <f>N("Amazon Prime")-IF(DAY(A48)=Budget!$Q$3,Budget!$P$3,0)</f>
        <v>0</v>
      </c>
      <c r="U48" s="17">
        <f>N("Audible")-IF(DAY(A48)=Budget!$Q$12,Budget!$P$12,0)</f>
        <v>0</v>
      </c>
      <c r="V48" s="17">
        <f>N("Crunchyroll")-IF(DAY(A48)=Budget!$Q$5,Budget!$P$5,0)</f>
        <v>0</v>
      </c>
      <c r="W48" s="17">
        <f>N("HBO Max")-IF(DAY(A48)=Budget!$Q$6,Budget!$P$6,0)</f>
        <v>0</v>
      </c>
      <c r="X48" s="17">
        <f>N("Netflix")-IF(DAY(A48)=Budget!$Q$7,Budget!$P$7,0)</f>
        <v>-6</v>
      </c>
      <c r="Y48" s="17">
        <f>N("Spotify")-IF(DAY(A48)=Budget!$Q$8,Budget!$P$8,0)</f>
        <v>0</v>
      </c>
      <c r="Z48" s="17">
        <f>N("Truebill")-IF(DAY(A48)=Budget!$Q$9,Budget!$P$9,0)</f>
        <v>0</v>
      </c>
      <c r="AA48" s="6">
        <f t="shared" si="4"/>
        <v>-6</v>
      </c>
    </row>
    <row r="49" spans="1:27" x14ac:dyDescent="0.3">
      <c r="A49" s="4">
        <f t="shared" si="5"/>
        <v>45701</v>
      </c>
      <c r="B49" s="2">
        <f t="shared" si="6"/>
        <v>1312.77</v>
      </c>
      <c r="C49" s="7">
        <f t="shared" si="7"/>
        <v>1</v>
      </c>
      <c r="D49" s="1"/>
      <c r="E49" s="17">
        <f>N("PAY-LM")+IF(WEEKDAY(A49)=Budget!$C$3,Budget!$B$3,0)</f>
        <v>0</v>
      </c>
      <c r="F49" s="17">
        <f>N("Rent")-IF(DAY(A49)=Budget!$G$3,Budget!$F$3,0)</f>
        <v>0</v>
      </c>
      <c r="G49" s="17">
        <f>N("Car")-IF(DAY(A49)=Budget!$G$4,Budget!$F$4+Budget!$H$4,0)</f>
        <v>0</v>
      </c>
      <c r="H49" s="17">
        <f>N("Mom Rent")-IF(DAY(A49)=Budget!$G$5,Budget!$F$5,0)</f>
        <v>0</v>
      </c>
      <c r="I49" s="17">
        <f>N("AT&amp;T")-IF(DAY(A49)=Budget!$G$8,Budget!$F$8,0)</f>
        <v>0</v>
      </c>
      <c r="J49" s="17">
        <f>N("GA Power")-IF(DAY(A49)=Budget!$G$9,Budget!$F$9,0)</f>
        <v>0</v>
      </c>
      <c r="K49" s="17">
        <f>N("Haircut")-IF(DAY(A49)=Budget!$G$10,Budget!$F$10,0)</f>
        <v>0</v>
      </c>
      <c r="L49" s="17">
        <f>N("Groceries")-IF(DAY(A49)=Budget!$G$6,Budget!$F$6,0)</f>
        <v>0</v>
      </c>
      <c r="M49" s="17">
        <f>N("Savings")-IF(DAY(A49)=Budget!$G$7,Budget!$F$7,0)</f>
        <v>0</v>
      </c>
      <c r="N49" s="17">
        <f>N("Car Insurance")-COUNTIF(Budget!$G$14, A49)*Budget!$F$14</f>
        <v>0</v>
      </c>
      <c r="O49" s="17">
        <f>N("Phone Bill")-COUNTIF(Budget!$G$15, A49)*Budget!$F$15</f>
        <v>0</v>
      </c>
      <c r="Q49" s="17">
        <f>N("Spotify")-IF(AND(DAY($A49)=Budget!$M$3, MONTH($A49)=Budget!$L$3),Budget!$K$3,0)</f>
        <v>0</v>
      </c>
      <c r="R49" s="17">
        <f>N("Spotify")-IF(AND(DAY($A49)=Budget!$M$4, MONTH($A49)=Budget!$L$4),Budget!$K$4,0)</f>
        <v>0</v>
      </c>
      <c r="S49" s="17">
        <f>N("Spotify")-IF(AND(DAY($A49)=Budget!$M$5, MONTH($A49)=Budget!$L$5),Budget!$K$5,0)</f>
        <v>0</v>
      </c>
      <c r="T49" s="17">
        <f>N("Amazon Prime")-IF(DAY(A49)=Budget!$Q$3,Budget!$P$3,0)</f>
        <v>0</v>
      </c>
      <c r="U49" s="17">
        <f>N("Audible")-IF(DAY(A49)=Budget!$Q$12,Budget!$P$12,0)</f>
        <v>0</v>
      </c>
      <c r="V49" s="17">
        <f>N("Crunchyroll")-IF(DAY(A49)=Budget!$Q$5,Budget!$P$5,0)</f>
        <v>0</v>
      </c>
      <c r="W49" s="17">
        <f>N("HBO Max")-IF(DAY(A49)=Budget!$Q$6,Budget!$P$6,0)</f>
        <v>0</v>
      </c>
      <c r="X49" s="17">
        <f>N("Netflix")-IF(DAY(A49)=Budget!$Q$7,Budget!$P$7,0)</f>
        <v>0</v>
      </c>
      <c r="Y49" s="17">
        <f>N("Spotify")-IF(DAY(A49)=Budget!$Q$8,Budget!$P$8,0)</f>
        <v>0</v>
      </c>
      <c r="Z49" s="17">
        <f>N("Truebill")-IF(DAY(A49)=Budget!$Q$9,Budget!$P$9,0)</f>
        <v>0</v>
      </c>
      <c r="AA49" s="6">
        <f t="shared" si="4"/>
        <v>0</v>
      </c>
    </row>
    <row r="50" spans="1:27" x14ac:dyDescent="0.3">
      <c r="A50" s="4">
        <f t="shared" si="5"/>
        <v>45702</v>
      </c>
      <c r="B50" s="2">
        <f t="shared" si="6"/>
        <v>2765.77</v>
      </c>
      <c r="C50" s="7">
        <f t="shared" si="7"/>
        <v>2</v>
      </c>
      <c r="D50" s="1">
        <v>0</v>
      </c>
      <c r="E50" s="17">
        <f>N("PAY-LM")+IF(WEEKDAY(A50)=Budget!$C$3,Budget!$B$3,0)</f>
        <v>1453</v>
      </c>
      <c r="F50" s="17">
        <f>N("Rent")-IF(DAY(A50)=Budget!$G$3,Budget!$F$3,0)</f>
        <v>0</v>
      </c>
      <c r="G50" s="17">
        <f>N("Car")-IF(DAY(A50)=Budget!$G$4,Budget!$F$4+Budget!$H$4,0)</f>
        <v>0</v>
      </c>
      <c r="H50" s="17">
        <f>N("Mom Rent")-IF(DAY(A50)=Budget!$G$5,Budget!$F$5,0)</f>
        <v>0</v>
      </c>
      <c r="I50" s="17">
        <f>N("AT&amp;T")-IF(DAY(A50)=Budget!$G$8,Budget!$F$8,0)</f>
        <v>0</v>
      </c>
      <c r="J50" s="17">
        <f>N("GA Power")-IF(DAY(A50)=Budget!$G$9,Budget!$F$9,0)</f>
        <v>0</v>
      </c>
      <c r="K50" s="17">
        <f>N("Haircut")-IF(DAY(A50)=Budget!$G$10,Budget!$F$10,0)</f>
        <v>0</v>
      </c>
      <c r="L50" s="17">
        <f>N("Groceries")-IF(DAY(A50)=Budget!$G$6,Budget!$F$6,0)</f>
        <v>0</v>
      </c>
      <c r="M50" s="17">
        <f>N("Savings")-IF(DAY(A50)=Budget!$G$7,Budget!$F$7,0)</f>
        <v>0</v>
      </c>
      <c r="N50" s="17">
        <f>N("Car Insurance")-COUNTIF(Budget!$G$14, A50)*Budget!$F$14</f>
        <v>0</v>
      </c>
      <c r="O50" s="17">
        <f>N("Phone Bill")-COUNTIF(Budget!$G$15, A50)*Budget!$F$15</f>
        <v>0</v>
      </c>
      <c r="Q50" s="17">
        <f>N("Spotify")-IF(AND(DAY($A50)=Budget!$M$3, MONTH($A50)=Budget!$L$3),Budget!$K$3,0)</f>
        <v>0</v>
      </c>
      <c r="R50" s="17">
        <f>N("Spotify")-IF(AND(DAY($A50)=Budget!$M$4, MONTH($A50)=Budget!$L$4),Budget!$K$4,0)</f>
        <v>0</v>
      </c>
      <c r="S50" s="17">
        <f>N("Spotify")-IF(AND(DAY($A50)=Budget!$M$5, MONTH($A50)=Budget!$L$5),Budget!$K$5,0)</f>
        <v>0</v>
      </c>
      <c r="T50" s="17">
        <f>N("Amazon Prime")-IF(DAY(A50)=Budget!$Q$3,Budget!$P$3,0)</f>
        <v>0</v>
      </c>
      <c r="U50" s="17">
        <f>N("Audible")-IF(DAY(A50)=Budget!$Q$12,Budget!$P$12,0)</f>
        <v>0</v>
      </c>
      <c r="V50" s="17">
        <f>N("Crunchyroll")-IF(DAY(A50)=Budget!$Q$5,Budget!$P$5,0)</f>
        <v>0</v>
      </c>
      <c r="W50" s="17">
        <f>N("HBO Max")-IF(DAY(A50)=Budget!$Q$6,Budget!$P$6,0)</f>
        <v>0</v>
      </c>
      <c r="X50" s="17">
        <f>N("Netflix")-IF(DAY(A50)=Budget!$Q$7,Budget!$P$7,0)</f>
        <v>0</v>
      </c>
      <c r="Y50" s="17">
        <f>N("Spotify")-IF(DAY(A50)=Budget!$Q$8,Budget!$P$8,0)</f>
        <v>0</v>
      </c>
      <c r="Z50" s="17">
        <f>N("Truebill")-IF(DAY(A50)=Budget!$Q$9,Budget!$P$9,0)</f>
        <v>0</v>
      </c>
      <c r="AA50" s="6">
        <f t="shared" si="4"/>
        <v>1453</v>
      </c>
    </row>
    <row r="51" spans="1:27" x14ac:dyDescent="0.3">
      <c r="A51" s="4">
        <f t="shared" si="5"/>
        <v>45703</v>
      </c>
      <c r="B51" s="2">
        <f t="shared" si="6"/>
        <v>2765.77</v>
      </c>
      <c r="C51" s="7">
        <f t="shared" si="7"/>
        <v>1</v>
      </c>
      <c r="D51" s="1">
        <v>0</v>
      </c>
      <c r="E51" s="17">
        <f>N("PAY-LM")+IF(WEEKDAY(A51)=Budget!$C$3,Budget!$B$3,0)</f>
        <v>0</v>
      </c>
      <c r="F51" s="17">
        <f>N("Rent")-IF(DAY(A51)=Budget!$G$3,Budget!$F$3,0)</f>
        <v>0</v>
      </c>
      <c r="G51" s="17">
        <f>N("Car")-IF(DAY(A51)=Budget!$G$4,Budget!$F$4+Budget!$H$4,0)</f>
        <v>0</v>
      </c>
      <c r="H51" s="17">
        <f>N("Mom Rent")-IF(DAY(A51)=Budget!$G$5,Budget!$F$5,0)</f>
        <v>0</v>
      </c>
      <c r="I51" s="17">
        <f>N("AT&amp;T")-IF(DAY(A51)=Budget!$G$8,Budget!$F$8,0)</f>
        <v>0</v>
      </c>
      <c r="J51" s="17">
        <f>N("GA Power")-IF(DAY(A51)=Budget!$G$9,Budget!$F$9,0)</f>
        <v>0</v>
      </c>
      <c r="K51" s="17">
        <f>N("Haircut")-IF(DAY(A51)=Budget!$G$10,Budget!$F$10,0)</f>
        <v>0</v>
      </c>
      <c r="L51" s="17">
        <f>N("Groceries")-IF(DAY(A51)=Budget!$G$6,Budget!$F$6,0)</f>
        <v>0</v>
      </c>
      <c r="M51" s="17">
        <f>N("Savings")-IF(DAY(A51)=Budget!$G$7,Budget!$F$7,0)</f>
        <v>0</v>
      </c>
      <c r="N51" s="17">
        <f>N("Car Insurance")-COUNTIF(Budget!$G$14, A51)*Budget!$F$14</f>
        <v>0</v>
      </c>
      <c r="O51" s="17">
        <f>N("Phone Bill")-COUNTIF(Budget!$G$15, A51)*Budget!$F$15</f>
        <v>0</v>
      </c>
      <c r="Q51" s="17">
        <f>N("Spotify")-IF(AND(DAY($A51)=Budget!$M$3, MONTH($A51)=Budget!$L$3),Budget!$K$3,0)</f>
        <v>0</v>
      </c>
      <c r="R51" s="17">
        <f>N("Spotify")-IF(AND(DAY($A51)=Budget!$M$4, MONTH($A51)=Budget!$L$4),Budget!$K$4,0)</f>
        <v>0</v>
      </c>
      <c r="S51" s="17">
        <f>N("Spotify")-IF(AND(DAY($A51)=Budget!$M$5, MONTH($A51)=Budget!$L$5),Budget!$K$5,0)</f>
        <v>0</v>
      </c>
      <c r="T51" s="17">
        <f>N("Amazon Prime")-IF(DAY(A51)=Budget!$Q$3,Budget!$P$3,0)</f>
        <v>0</v>
      </c>
      <c r="U51" s="17">
        <f>N("Audible")-IF(DAY(A51)=Budget!$Q$12,Budget!$P$12,0)</f>
        <v>0</v>
      </c>
      <c r="V51" s="17">
        <f>N("Crunchyroll")-IF(DAY(A51)=Budget!$Q$5,Budget!$P$5,0)</f>
        <v>0</v>
      </c>
      <c r="W51" s="17">
        <f>N("HBO Max")-IF(DAY(A51)=Budget!$Q$6,Budget!$P$6,0)</f>
        <v>0</v>
      </c>
      <c r="X51" s="17">
        <f>N("Netflix")-IF(DAY(A51)=Budget!$Q$7,Budget!$P$7,0)</f>
        <v>0</v>
      </c>
      <c r="Y51" s="17">
        <f>N("Spotify")-IF(DAY(A51)=Budget!$Q$8,Budget!$P$8,0)</f>
        <v>0</v>
      </c>
      <c r="Z51" s="17">
        <f>N("Truebill")-IF(DAY(A51)=Budget!$Q$9,Budget!$P$9,0)</f>
        <v>0</v>
      </c>
      <c r="AA51" s="6">
        <f t="shared" si="4"/>
        <v>0</v>
      </c>
    </row>
    <row r="52" spans="1:27" x14ac:dyDescent="0.3">
      <c r="A52" s="4">
        <f t="shared" si="5"/>
        <v>45704</v>
      </c>
      <c r="B52" s="2">
        <v>2462.77</v>
      </c>
      <c r="C52" s="7">
        <f t="shared" si="7"/>
        <v>0</v>
      </c>
      <c r="D52" s="1">
        <v>0</v>
      </c>
      <c r="E52" s="17">
        <f>N("PAY-LM")+IF(WEEKDAY(A52)=Budget!$C$3,Budget!$B$3,0)</f>
        <v>0</v>
      </c>
      <c r="F52" s="17">
        <f>N("Rent")-IF(DAY(A52)=Budget!$G$3,Budget!$F$3,0)</f>
        <v>0</v>
      </c>
      <c r="G52" s="17">
        <f>N("Car")-IF(DAY(A52)=Budget!$G$4,Budget!$F$4+Budget!$H$4,0)</f>
        <v>0</v>
      </c>
      <c r="H52" s="17">
        <f>N("Mom Rent")-IF(DAY(A52)=Budget!$G$5,Budget!$F$5,0)</f>
        <v>0</v>
      </c>
      <c r="I52" s="17">
        <f>N("AT&amp;T")-IF(DAY(A52)=Budget!$G$8,Budget!$F$8,0)</f>
        <v>0</v>
      </c>
      <c r="J52" s="17">
        <f>N("GA Power")-IF(DAY(A52)=Budget!$G$9,Budget!$F$9,0)</f>
        <v>0</v>
      </c>
      <c r="K52" s="17">
        <f>N("Haircut")-IF(DAY(A52)=Budget!$G$10,Budget!$F$10,0)</f>
        <v>0</v>
      </c>
      <c r="L52" s="17">
        <f>N("Groceries")-IF(DAY(A52)=Budget!$G$6,Budget!$F$6,0)</f>
        <v>0</v>
      </c>
      <c r="M52" s="17">
        <f>N("Savings")-IF(DAY(A52)=Budget!$G$7,Budget!$F$7,0)</f>
        <v>0</v>
      </c>
      <c r="N52" s="17">
        <f>N("Car Insurance")-COUNTIF(Budget!$G$14, A52)*Budget!$F$14</f>
        <v>0</v>
      </c>
      <c r="O52" s="17">
        <f>N("Phone Bill")-COUNTIF(Budget!$G$15, A52)*Budget!$F$15</f>
        <v>0</v>
      </c>
      <c r="Q52" s="17">
        <f>N("Spotify")-IF(AND(DAY($A52)=Budget!$M$3, MONTH($A52)=Budget!$L$3),Budget!$K$3,0)</f>
        <v>0</v>
      </c>
      <c r="R52" s="17">
        <f>N("Spotify")-IF(AND(DAY($A52)=Budget!$M$4, MONTH($A52)=Budget!$L$4),Budget!$K$4,0)</f>
        <v>0</v>
      </c>
      <c r="S52" s="17">
        <f>N("Spotify")-IF(AND(DAY($A52)=Budget!$M$5, MONTH($A52)=Budget!$L$5),Budget!$K$5,0)</f>
        <v>0</v>
      </c>
      <c r="T52" s="17">
        <f>N("Amazon Prime")-IF(DAY(A52)=Budget!$Q$3,Budget!$P$3,0)</f>
        <v>0</v>
      </c>
      <c r="U52" s="17">
        <f>N("Audible")-IF(DAY(A52)=Budget!$Q$12,Budget!$P$12,0)</f>
        <v>0</v>
      </c>
      <c r="V52" s="17">
        <f>N("Crunchyroll")-IF(DAY(A52)=Budget!$Q$5,Budget!$P$5,0)</f>
        <v>0</v>
      </c>
      <c r="W52" s="17">
        <f>N("HBO Max")-IF(DAY(A52)=Budget!$Q$6,Budget!$P$6,0)</f>
        <v>0</v>
      </c>
      <c r="X52" s="17">
        <f>N("Netflix")-IF(DAY(A52)=Budget!$Q$7,Budget!$P$7,0)</f>
        <v>0</v>
      </c>
      <c r="Y52" s="17">
        <f>N("Spotify")-IF(DAY(A52)=Budget!$Q$8,Budget!$P$8,0)</f>
        <v>0</v>
      </c>
      <c r="Z52" s="17">
        <f>N("Truebill")-IF(DAY(A52)=Budget!$Q$9,Budget!$P$9,0)</f>
        <v>0</v>
      </c>
      <c r="AA52" s="6">
        <f t="shared" si="4"/>
        <v>0</v>
      </c>
    </row>
    <row r="53" spans="1:27" x14ac:dyDescent="0.3">
      <c r="A53" s="4">
        <f t="shared" si="5"/>
        <v>45705</v>
      </c>
      <c r="B53" s="2">
        <f t="shared" si="6"/>
        <v>2462.77</v>
      </c>
      <c r="C53" s="7">
        <f t="shared" si="7"/>
        <v>1</v>
      </c>
      <c r="D53" s="1">
        <v>0</v>
      </c>
      <c r="E53" s="17">
        <f>N("PAY-LM")+IF(WEEKDAY(A53)=Budget!$C$3,Budget!$B$3,0)</f>
        <v>0</v>
      </c>
      <c r="F53" s="17">
        <f>N("Rent")-IF(DAY(A53)=Budget!$G$3,Budget!$F$3,0)</f>
        <v>0</v>
      </c>
      <c r="G53" s="17">
        <f>N("Car")-IF(DAY(A53)=Budget!$G$4,Budget!$F$4+Budget!$H$4,0)</f>
        <v>0</v>
      </c>
      <c r="H53" s="17">
        <f>N("Mom Rent")-IF(DAY(A53)=Budget!$G$5,Budget!$F$5,0)</f>
        <v>0</v>
      </c>
      <c r="I53" s="17">
        <f>N("AT&amp;T")-IF(DAY(A53)=Budget!$G$8,Budget!$F$8,0)</f>
        <v>0</v>
      </c>
      <c r="J53" s="17">
        <f>N("GA Power")-IF(DAY(A53)=Budget!$G$9,Budget!$F$9,0)</f>
        <v>0</v>
      </c>
      <c r="K53" s="17">
        <f>N("Haircut")-IF(DAY(A53)=Budget!$G$10,Budget!$F$10,0)</f>
        <v>0</v>
      </c>
      <c r="L53" s="17">
        <f>N("Groceries")-IF(DAY(A53)=Budget!$G$6,Budget!$F$6,0)</f>
        <v>0</v>
      </c>
      <c r="M53" s="17">
        <f>N("Savings")-IF(DAY(A53)=Budget!$G$7,Budget!$F$7,0)</f>
        <v>0</v>
      </c>
      <c r="N53" s="17">
        <f>N("Car Insurance")-COUNTIF(Budget!$G$14, A53)*Budget!$F$14</f>
        <v>0</v>
      </c>
      <c r="O53" s="17">
        <f>N("Phone Bill")-COUNTIF(Budget!$G$15, A53)*Budget!$F$15</f>
        <v>0</v>
      </c>
      <c r="Q53" s="17">
        <f>N("Spotify")-IF(AND(DAY($A53)=Budget!$M$3, MONTH($A53)=Budget!$L$3),Budget!$K$3,0)</f>
        <v>0</v>
      </c>
      <c r="R53" s="17">
        <f>N("Spotify")-IF(AND(DAY($A53)=Budget!$M$4, MONTH($A53)=Budget!$L$4),Budget!$K$4,0)</f>
        <v>0</v>
      </c>
      <c r="S53" s="17">
        <f>N("Spotify")-IF(AND(DAY($A53)=Budget!$M$5, MONTH($A53)=Budget!$L$5),Budget!$K$5,0)</f>
        <v>0</v>
      </c>
      <c r="T53" s="17">
        <f>N("Amazon Prime")-IF(DAY(A53)=Budget!$Q$3,Budget!$P$3,0)</f>
        <v>0</v>
      </c>
      <c r="U53" s="17">
        <f>N("Audible")-IF(DAY(A53)=Budget!$Q$12,Budget!$P$12,0)</f>
        <v>0</v>
      </c>
      <c r="V53" s="17">
        <f>N("Crunchyroll")-IF(DAY(A53)=Budget!$Q$5,Budget!$P$5,0)</f>
        <v>0</v>
      </c>
      <c r="W53" s="17">
        <f>N("HBO Max")-IF(DAY(A53)=Budget!$Q$6,Budget!$P$6,0)</f>
        <v>0</v>
      </c>
      <c r="X53" s="17">
        <f>N("Netflix")-IF(DAY(A53)=Budget!$Q$7,Budget!$P$7,0)</f>
        <v>0</v>
      </c>
      <c r="Y53" s="17">
        <f>N("Spotify")-IF(DAY(A53)=Budget!$Q$8,Budget!$P$8,0)</f>
        <v>0</v>
      </c>
      <c r="Z53" s="17">
        <f>N("Truebill")-IF(DAY(A53)=Budget!$Q$9,Budget!$P$9,0)</f>
        <v>0</v>
      </c>
      <c r="AA53" s="6">
        <f t="shared" si="4"/>
        <v>0</v>
      </c>
    </row>
    <row r="54" spans="1:27" x14ac:dyDescent="0.3">
      <c r="A54" s="4">
        <f t="shared" si="5"/>
        <v>45706</v>
      </c>
      <c r="B54" s="2">
        <f t="shared" si="6"/>
        <v>2397.77</v>
      </c>
      <c r="C54" s="7">
        <f t="shared" si="7"/>
        <v>0</v>
      </c>
      <c r="D54" s="1">
        <v>0</v>
      </c>
      <c r="E54" s="17">
        <f>N("PAY-LM")+IF(WEEKDAY(A54)=Budget!$C$3,Budget!$B$3,0)</f>
        <v>0</v>
      </c>
      <c r="F54" s="17">
        <f>N("Rent")-IF(DAY(A54)=Budget!$G$3,Budget!$F$3,0)</f>
        <v>0</v>
      </c>
      <c r="G54" s="17">
        <f>N("Car")-IF(DAY(A54)=Budget!$G$4,Budget!$F$4+Budget!$H$4,0)</f>
        <v>0</v>
      </c>
      <c r="H54" s="17">
        <f>N("Mom Rent")-IF(DAY(A54)=Budget!$G$5,Budget!$F$5,0)</f>
        <v>0</v>
      </c>
      <c r="I54" s="17">
        <f>N("AT&amp;T")-IF(DAY(A54)=Budget!$G$8,Budget!$F$8,0)</f>
        <v>-65</v>
      </c>
      <c r="J54" s="17">
        <f>N("GA Power")-IF(DAY(A54)=Budget!$G$9,Budget!$F$9,0)</f>
        <v>0</v>
      </c>
      <c r="K54" s="17">
        <f>N("Haircut")-IF(DAY(A54)=Budget!$G$10,Budget!$F$10,0)</f>
        <v>0</v>
      </c>
      <c r="L54" s="17">
        <f>N("Groceries")-IF(DAY(A54)=Budget!$G$6,Budget!$F$6,0)</f>
        <v>0</v>
      </c>
      <c r="M54" s="17">
        <f>N("Savings")-IF(DAY(A54)=Budget!$G$7,Budget!$F$7,0)</f>
        <v>0</v>
      </c>
      <c r="N54" s="17">
        <f>N("Car Insurance")-COUNTIF(Budget!$G$14, A54)*Budget!$F$14</f>
        <v>0</v>
      </c>
      <c r="O54" s="17">
        <f>N("Phone Bill")-COUNTIF(Budget!$G$15, A54)*Budget!$F$15</f>
        <v>0</v>
      </c>
      <c r="Q54" s="17">
        <f>N("Spotify")-IF(AND(DAY($A54)=Budget!$M$3, MONTH($A54)=Budget!$L$3),Budget!$K$3,0)</f>
        <v>0</v>
      </c>
      <c r="R54" s="17">
        <f>N("Spotify")-IF(AND(DAY($A54)=Budget!$M$4, MONTH($A54)=Budget!$L$4),Budget!$K$4,0)</f>
        <v>0</v>
      </c>
      <c r="S54" s="17">
        <f>N("Spotify")-IF(AND(DAY($A54)=Budget!$M$5, MONTH($A54)=Budget!$L$5),Budget!$K$5,0)</f>
        <v>0</v>
      </c>
      <c r="T54" s="17">
        <f>N("Amazon Prime")-IF(DAY(A54)=Budget!$Q$3,Budget!$P$3,0)</f>
        <v>0</v>
      </c>
      <c r="U54" s="17">
        <f>N("Audible")-IF(DAY(A54)=Budget!$Q$12,Budget!$P$12,0)</f>
        <v>0</v>
      </c>
      <c r="V54" s="17">
        <f>N("Crunchyroll")-IF(DAY(A54)=Budget!$Q$5,Budget!$P$5,0)</f>
        <v>0</v>
      </c>
      <c r="W54" s="17">
        <f>N("HBO Max")-IF(DAY(A54)=Budget!$Q$6,Budget!$P$6,0)</f>
        <v>0</v>
      </c>
      <c r="X54" s="17">
        <f>N("Netflix")-IF(DAY(A54)=Budget!$Q$7,Budget!$P$7,0)</f>
        <v>0</v>
      </c>
      <c r="Y54" s="17">
        <f>N("Spotify")-IF(DAY(A54)=Budget!$Q$8,Budget!$P$8,0)</f>
        <v>0</v>
      </c>
      <c r="Z54" s="17">
        <f>N("Truebill")-IF(DAY(A54)=Budget!$Q$9,Budget!$P$9,0)</f>
        <v>0</v>
      </c>
      <c r="AA54" s="6">
        <f t="shared" si="4"/>
        <v>-65</v>
      </c>
    </row>
    <row r="55" spans="1:27" x14ac:dyDescent="0.3">
      <c r="A55" s="4">
        <f t="shared" si="5"/>
        <v>45707</v>
      </c>
      <c r="B55" s="2">
        <f t="shared" si="6"/>
        <v>2397.77</v>
      </c>
      <c r="C55" s="7">
        <f t="shared" si="7"/>
        <v>1</v>
      </c>
      <c r="D55" s="1">
        <v>0</v>
      </c>
      <c r="E55" s="17">
        <f>N("PAY-LM")+IF(WEEKDAY(A55)=Budget!$C$3,Budget!$B$3,0)</f>
        <v>0</v>
      </c>
      <c r="F55" s="17">
        <f>N("Rent")-IF(DAY(A55)=Budget!$G$3,Budget!$F$3,0)</f>
        <v>0</v>
      </c>
      <c r="G55" s="17">
        <f>N("Car")-IF(DAY(A55)=Budget!$G$4,Budget!$F$4+Budget!$H$4,0)</f>
        <v>0</v>
      </c>
      <c r="H55" s="17">
        <f>N("Mom Rent")-IF(DAY(A55)=Budget!$G$5,Budget!$F$5,0)</f>
        <v>0</v>
      </c>
      <c r="I55" s="17">
        <f>N("AT&amp;T")-IF(DAY(A55)=Budget!$G$8,Budget!$F$8,0)</f>
        <v>0</v>
      </c>
      <c r="J55" s="17">
        <f>N("GA Power")-IF(DAY(A55)=Budget!$G$9,Budget!$F$9,0)</f>
        <v>0</v>
      </c>
      <c r="K55" s="17">
        <f>N("Haircut")-IF(DAY(A55)=Budget!$G$10,Budget!$F$10,0)</f>
        <v>0</v>
      </c>
      <c r="L55" s="17">
        <f>N("Groceries")-IF(DAY(A55)=Budget!$G$6,Budget!$F$6,0)</f>
        <v>0</v>
      </c>
      <c r="M55" s="17">
        <f>N("Savings")-IF(DAY(A55)=Budget!$G$7,Budget!$F$7,0)</f>
        <v>0</v>
      </c>
      <c r="N55" s="17">
        <f>N("Car Insurance")-COUNTIF(Budget!$G$14, A55)*Budget!$F$14</f>
        <v>0</v>
      </c>
      <c r="O55" s="17">
        <f>N("Phone Bill")-COUNTIF(Budget!$G$15, A55)*Budget!$F$15</f>
        <v>0</v>
      </c>
      <c r="Q55" s="17">
        <f>N("Spotify")-IF(AND(DAY($A55)=Budget!$M$3, MONTH($A55)=Budget!$L$3),Budget!$K$3,0)</f>
        <v>0</v>
      </c>
      <c r="R55" s="17">
        <f>N("Spotify")-IF(AND(DAY($A55)=Budget!$M$4, MONTH($A55)=Budget!$L$4),Budget!$K$4,0)</f>
        <v>0</v>
      </c>
      <c r="S55" s="17">
        <f>N("Spotify")-IF(AND(DAY($A55)=Budget!$M$5, MONTH($A55)=Budget!$L$5),Budget!$K$5,0)</f>
        <v>0</v>
      </c>
      <c r="T55" s="17">
        <f>N("Amazon Prime")-IF(DAY(A55)=Budget!$Q$3,Budget!$P$3,0)</f>
        <v>0</v>
      </c>
      <c r="U55" s="17">
        <f>N("Audible")-IF(DAY(A55)=Budget!$Q$12,Budget!$P$12,0)</f>
        <v>0</v>
      </c>
      <c r="V55" s="17">
        <f>N("Crunchyroll")-IF(DAY(A55)=Budget!$Q$5,Budget!$P$5,0)</f>
        <v>0</v>
      </c>
      <c r="W55" s="17">
        <f>N("HBO Max")-IF(DAY(A55)=Budget!$Q$6,Budget!$P$6,0)</f>
        <v>0</v>
      </c>
      <c r="X55" s="17">
        <f>N("Netflix")-IF(DAY(A55)=Budget!$Q$7,Budget!$P$7,0)</f>
        <v>0</v>
      </c>
      <c r="Y55" s="17">
        <f>N("Spotify")-IF(DAY(A55)=Budget!$Q$8,Budget!$P$8,0)</f>
        <v>0</v>
      </c>
      <c r="Z55" s="17">
        <f>N("Truebill")-IF(DAY(A55)=Budget!$Q$9,Budget!$P$9,0)</f>
        <v>0</v>
      </c>
      <c r="AA55" s="6">
        <f t="shared" si="4"/>
        <v>0</v>
      </c>
    </row>
    <row r="56" spans="1:27" x14ac:dyDescent="0.3">
      <c r="A56" s="4">
        <f t="shared" si="5"/>
        <v>45708</v>
      </c>
      <c r="B56" s="2">
        <f t="shared" si="6"/>
        <v>1547.77</v>
      </c>
      <c r="C56" s="7">
        <f t="shared" si="7"/>
        <v>0</v>
      </c>
      <c r="D56" s="1">
        <v>0</v>
      </c>
      <c r="E56" s="17">
        <f>N("PAY-LM")+IF(WEEKDAY(A56)=Budget!$C$3,Budget!$B$3,0)</f>
        <v>0</v>
      </c>
      <c r="F56" s="17">
        <f>N("Rent")-IF(DAY(A56)=Budget!$G$3,Budget!$F$3,0)</f>
        <v>0</v>
      </c>
      <c r="G56" s="17">
        <f>N("Car")-IF(DAY(A56)=Budget!$G$4,Budget!$F$4+Budget!$H$4,0)</f>
        <v>0</v>
      </c>
      <c r="H56" s="17">
        <f>N("Mom Rent")-IF(DAY(A56)=Budget!$G$5,Budget!$F$5,0)</f>
        <v>-850</v>
      </c>
      <c r="I56" s="17">
        <f>N("AT&amp;T")-IF(DAY(A56)=Budget!$G$8,Budget!$F$8,0)</f>
        <v>0</v>
      </c>
      <c r="J56" s="17">
        <f>N("GA Power")-IF(DAY(A56)=Budget!$G$9,Budget!$F$9,0)</f>
        <v>0</v>
      </c>
      <c r="K56" s="17">
        <f>N("Haircut")-IF(DAY(A56)=Budget!$G$10,Budget!$F$10,0)</f>
        <v>0</v>
      </c>
      <c r="L56" s="17">
        <f>N("Groceries")-IF(DAY(A56)=Budget!$G$6,Budget!$F$6,0)</f>
        <v>0</v>
      </c>
      <c r="M56" s="17">
        <f>N("Savings")-IF(DAY(A56)=Budget!$G$7,Budget!$F$7,0)</f>
        <v>0</v>
      </c>
      <c r="N56" s="17">
        <f>N("Car Insurance")-COUNTIF(Budget!$G$14, A56)*Budget!$F$14</f>
        <v>0</v>
      </c>
      <c r="O56" s="17">
        <f>N("Phone Bill")-COUNTIF(Budget!$G$15, A56)*Budget!$F$15</f>
        <v>0</v>
      </c>
      <c r="Q56" s="17">
        <f>N("Spotify")-IF(AND(DAY($A56)=Budget!$M$3, MONTH($A56)=Budget!$L$3),Budget!$K$3,0)</f>
        <v>0</v>
      </c>
      <c r="R56" s="17">
        <f>N("Spotify")-IF(AND(DAY($A56)=Budget!$M$4, MONTH($A56)=Budget!$L$4),Budget!$K$4,0)</f>
        <v>0</v>
      </c>
      <c r="S56" s="17">
        <f>N("Spotify")-IF(AND(DAY($A56)=Budget!$M$5, MONTH($A56)=Budget!$L$5),Budget!$K$5,0)</f>
        <v>0</v>
      </c>
      <c r="T56" s="17">
        <f>N("Amazon Prime")-IF(DAY(A56)=Budget!$Q$3,Budget!$P$3,0)</f>
        <v>0</v>
      </c>
      <c r="U56" s="17">
        <f>N("Audible")-IF(DAY(A56)=Budget!$Q$12,Budget!$P$12,0)</f>
        <v>0</v>
      </c>
      <c r="V56" s="17">
        <f>N("Crunchyroll")-IF(DAY(A56)=Budget!$Q$5,Budget!$P$5,0)</f>
        <v>0</v>
      </c>
      <c r="W56" s="17">
        <f>N("HBO Max")-IF(DAY(A56)=Budget!$Q$6,Budget!$P$6,0)</f>
        <v>0</v>
      </c>
      <c r="X56" s="17">
        <f>N("Netflix")-IF(DAY(A56)=Budget!$Q$7,Budget!$P$7,0)</f>
        <v>0</v>
      </c>
      <c r="Y56" s="17">
        <f>N("Spotify")-IF(DAY(A56)=Budget!$Q$8,Budget!$P$8,0)</f>
        <v>0</v>
      </c>
      <c r="Z56" s="17">
        <f>N("Truebill")-IF(DAY(A56)=Budget!$Q$9,Budget!$P$9,0)</f>
        <v>0</v>
      </c>
      <c r="AA56" s="6">
        <f t="shared" si="4"/>
        <v>-850</v>
      </c>
    </row>
    <row r="57" spans="1:27" x14ac:dyDescent="0.3">
      <c r="A57" s="4">
        <f t="shared" si="5"/>
        <v>45709</v>
      </c>
      <c r="B57" s="2">
        <f t="shared" si="6"/>
        <v>3000.77</v>
      </c>
      <c r="C57" s="7">
        <f t="shared" si="7"/>
        <v>2</v>
      </c>
      <c r="D57" s="1">
        <v>0</v>
      </c>
      <c r="E57" s="17">
        <f>N("PAY-LM")+IF(WEEKDAY(A57)=Budget!$C$3,Budget!$B$3,0)</f>
        <v>1453</v>
      </c>
      <c r="F57" s="17">
        <f>N("Rent")-IF(DAY(A57)=Budget!$G$3,Budget!$F$3,0)</f>
        <v>0</v>
      </c>
      <c r="G57" s="17">
        <f>N("Car")-IF(DAY(A57)=Budget!$G$4,Budget!$F$4+Budget!$H$4,0)</f>
        <v>0</v>
      </c>
      <c r="H57" s="17">
        <f>N("Mom Rent")-IF(DAY(A57)=Budget!$G$5,Budget!$F$5,0)</f>
        <v>0</v>
      </c>
      <c r="I57" s="17">
        <f>N("AT&amp;T")-IF(DAY(A57)=Budget!$G$8,Budget!$F$8,0)</f>
        <v>0</v>
      </c>
      <c r="J57" s="17">
        <f>N("GA Power")-IF(DAY(A57)=Budget!$G$9,Budget!$F$9,0)</f>
        <v>0</v>
      </c>
      <c r="K57" s="17">
        <f>N("Haircut")-IF(DAY(A57)=Budget!$G$10,Budget!$F$10,0)</f>
        <v>0</v>
      </c>
      <c r="L57" s="17">
        <f>N("Groceries")-IF(DAY(A57)=Budget!$G$6,Budget!$F$6,0)</f>
        <v>0</v>
      </c>
      <c r="M57" s="17">
        <f>N("Savings")-IF(DAY(A57)=Budget!$G$7,Budget!$F$7,0)</f>
        <v>0</v>
      </c>
      <c r="N57" s="17">
        <f>N("Car Insurance")-COUNTIF(Budget!$G$14, A57)*Budget!$F$14</f>
        <v>0</v>
      </c>
      <c r="O57" s="17">
        <f>N("Phone Bill")-COUNTIF(Budget!$G$15, A57)*Budget!$F$15</f>
        <v>0</v>
      </c>
      <c r="Q57" s="17">
        <f>N("Spotify")-IF(AND(DAY($A57)=Budget!$M$3, MONTH($A57)=Budget!$L$3),Budget!$K$3,0)</f>
        <v>0</v>
      </c>
      <c r="R57" s="17">
        <f>N("Spotify")-IF(AND(DAY($A57)=Budget!$M$4, MONTH($A57)=Budget!$L$4),Budget!$K$4,0)</f>
        <v>0</v>
      </c>
      <c r="S57" s="17">
        <f>N("Spotify")-IF(AND(DAY($A57)=Budget!$M$5, MONTH($A57)=Budget!$L$5),Budget!$K$5,0)</f>
        <v>0</v>
      </c>
      <c r="T57" s="17">
        <f>N("Amazon Prime")-IF(DAY(A57)=Budget!$Q$3,Budget!$P$3,0)</f>
        <v>0</v>
      </c>
      <c r="U57" s="17">
        <f>N("Audible")-IF(DAY(A57)=Budget!$Q$12,Budget!$P$12,0)</f>
        <v>0</v>
      </c>
      <c r="V57" s="17">
        <f>N("Crunchyroll")-IF(DAY(A57)=Budget!$Q$5,Budget!$P$5,0)</f>
        <v>0</v>
      </c>
      <c r="W57" s="17">
        <f>N("HBO Max")-IF(DAY(A57)=Budget!$Q$6,Budget!$P$6,0)</f>
        <v>0</v>
      </c>
      <c r="X57" s="17">
        <f>N("Netflix")-IF(DAY(A57)=Budget!$Q$7,Budget!$P$7,0)</f>
        <v>0</v>
      </c>
      <c r="Y57" s="17">
        <f>N("Spotify")-IF(DAY(A57)=Budget!$Q$8,Budget!$P$8,0)</f>
        <v>0</v>
      </c>
      <c r="Z57" s="17">
        <f>N("Truebill")-IF(DAY(A57)=Budget!$Q$9,Budget!$P$9,0)</f>
        <v>0</v>
      </c>
      <c r="AA57" s="6">
        <f t="shared" si="4"/>
        <v>1453</v>
      </c>
    </row>
    <row r="58" spans="1:27" x14ac:dyDescent="0.3">
      <c r="A58" s="4">
        <f t="shared" si="5"/>
        <v>45710</v>
      </c>
      <c r="B58" s="2">
        <f t="shared" si="6"/>
        <v>3000.77</v>
      </c>
      <c r="C58" s="7">
        <f t="shared" si="7"/>
        <v>1</v>
      </c>
      <c r="D58" s="1">
        <v>0</v>
      </c>
      <c r="E58" s="17">
        <f>N("PAY-LM")+IF(WEEKDAY(A58)=Budget!$C$3,Budget!$B$3,0)</f>
        <v>0</v>
      </c>
      <c r="F58" s="17">
        <f>N("Rent")-IF(DAY(A58)=Budget!$G$3,Budget!$F$3,0)</f>
        <v>0</v>
      </c>
      <c r="G58" s="17">
        <f>N("Car")-IF(DAY(A58)=Budget!$G$4,Budget!$F$4+Budget!$H$4,0)</f>
        <v>0</v>
      </c>
      <c r="H58" s="17">
        <f>N("Mom Rent")-IF(DAY(A58)=Budget!$G$5,Budget!$F$5,0)</f>
        <v>0</v>
      </c>
      <c r="I58" s="17">
        <f>N("AT&amp;T")-IF(DAY(A58)=Budget!$G$8,Budget!$F$8,0)</f>
        <v>0</v>
      </c>
      <c r="J58" s="17">
        <f>N("GA Power")-IF(DAY(A58)=Budget!$G$9,Budget!$F$9,0)</f>
        <v>0</v>
      </c>
      <c r="K58" s="17">
        <f>N("Haircut")-IF(DAY(A58)=Budget!$G$10,Budget!$F$10,0)</f>
        <v>0</v>
      </c>
      <c r="L58" s="17">
        <f>N("Groceries")-IF(DAY(A58)=Budget!$G$6,Budget!$F$6,0)</f>
        <v>0</v>
      </c>
      <c r="M58" s="17">
        <f>N("Savings")-IF(DAY(A58)=Budget!$G$7,Budget!$F$7,0)</f>
        <v>0</v>
      </c>
      <c r="N58" s="17">
        <f>N("Car Insurance")-COUNTIF(Budget!$G$14, A58)*Budget!$F$14</f>
        <v>0</v>
      </c>
      <c r="O58" s="17">
        <f>N("Phone Bill")-COUNTIF(Budget!$G$15, A58)*Budget!$F$15</f>
        <v>0</v>
      </c>
      <c r="Q58" s="17">
        <f>N("Spotify")-IF(AND(DAY($A58)=Budget!$M$3, MONTH($A58)=Budget!$L$3),Budget!$K$3,0)</f>
        <v>0</v>
      </c>
      <c r="R58" s="17">
        <f>N("Spotify")-IF(AND(DAY($A58)=Budget!$M$4, MONTH($A58)=Budget!$L$4),Budget!$K$4,0)</f>
        <v>0</v>
      </c>
      <c r="S58" s="17">
        <f>N("Spotify")-IF(AND(DAY($A58)=Budget!$M$5, MONTH($A58)=Budget!$L$5),Budget!$K$5,0)</f>
        <v>0</v>
      </c>
      <c r="T58" s="17">
        <f>N("Amazon Prime")-IF(DAY(A58)=Budget!$Q$3,Budget!$P$3,0)</f>
        <v>0</v>
      </c>
      <c r="U58" s="17">
        <f>N("Audible")-IF(DAY(A58)=Budget!$Q$12,Budget!$P$12,0)</f>
        <v>0</v>
      </c>
      <c r="V58" s="17">
        <f>N("Crunchyroll")-IF(DAY(A58)=Budget!$Q$5,Budget!$P$5,0)</f>
        <v>0</v>
      </c>
      <c r="W58" s="17">
        <f>N("HBO Max")-IF(DAY(A58)=Budget!$Q$6,Budget!$P$6,0)</f>
        <v>0</v>
      </c>
      <c r="X58" s="17">
        <f>N("Netflix")-IF(DAY(A58)=Budget!$Q$7,Budget!$P$7,0)</f>
        <v>0</v>
      </c>
      <c r="Y58" s="17">
        <f>N("Spotify")-IF(DAY(A58)=Budget!$Q$8,Budget!$P$8,0)</f>
        <v>0</v>
      </c>
      <c r="Z58" s="17">
        <f>N("Truebill")-IF(DAY(A58)=Budget!$Q$9,Budget!$P$9,0)</f>
        <v>0</v>
      </c>
      <c r="AA58" s="6">
        <f t="shared" si="4"/>
        <v>0</v>
      </c>
    </row>
    <row r="59" spans="1:27" x14ac:dyDescent="0.3">
      <c r="A59" s="4">
        <f t="shared" si="5"/>
        <v>45711</v>
      </c>
      <c r="B59" s="2">
        <f t="shared" si="6"/>
        <v>3000.77</v>
      </c>
      <c r="C59" s="7">
        <f t="shared" si="7"/>
        <v>1</v>
      </c>
      <c r="D59" s="1">
        <v>0</v>
      </c>
      <c r="E59" s="17">
        <f>N("PAY-LM")+IF(WEEKDAY(A59)=Budget!$C$3,Budget!$B$3,0)</f>
        <v>0</v>
      </c>
      <c r="F59" s="17">
        <f>N("Rent")-IF(DAY(A59)=Budget!$G$3,Budget!$F$3,0)</f>
        <v>0</v>
      </c>
      <c r="G59" s="17">
        <f>N("Car")-IF(DAY(A59)=Budget!$G$4,Budget!$F$4+Budget!$H$4,0)</f>
        <v>0</v>
      </c>
      <c r="H59" s="17">
        <f>N("Mom Rent")-IF(DAY(A59)=Budget!$G$5,Budget!$F$5,0)</f>
        <v>0</v>
      </c>
      <c r="I59" s="17">
        <f>N("AT&amp;T")-IF(DAY(A59)=Budget!$G$8,Budget!$F$8,0)</f>
        <v>0</v>
      </c>
      <c r="J59" s="17">
        <f>N("GA Power")-IF(DAY(A59)=Budget!$G$9,Budget!$F$9,0)</f>
        <v>0</v>
      </c>
      <c r="K59" s="17">
        <f>N("Haircut")-IF(DAY(A59)=Budget!$G$10,Budget!$F$10,0)</f>
        <v>0</v>
      </c>
      <c r="L59" s="17">
        <f>N("Groceries")-IF(DAY(A59)=Budget!$G$6,Budget!$F$6,0)</f>
        <v>0</v>
      </c>
      <c r="M59" s="17">
        <f>N("Savings")-IF(DAY(A59)=Budget!$G$7,Budget!$F$7,0)</f>
        <v>0</v>
      </c>
      <c r="N59" s="17">
        <f>N("Car Insurance")-COUNTIF(Budget!$G$14, A59)*Budget!$F$14</f>
        <v>0</v>
      </c>
      <c r="O59" s="17">
        <f>N("Phone Bill")-COUNTIF(Budget!$G$15, A59)*Budget!$F$15</f>
        <v>0</v>
      </c>
      <c r="Q59" s="17">
        <f>N("Spotify")-IF(AND(DAY($A59)=Budget!$M$3, MONTH($A59)=Budget!$L$3),Budget!$K$3,0)</f>
        <v>0</v>
      </c>
      <c r="R59" s="17">
        <f>N("Spotify")-IF(AND(DAY($A59)=Budget!$M$4, MONTH($A59)=Budget!$L$4),Budget!$K$4,0)</f>
        <v>0</v>
      </c>
      <c r="S59" s="17">
        <f>N("Spotify")-IF(AND(DAY($A59)=Budget!$M$5, MONTH($A59)=Budget!$L$5),Budget!$K$5,0)</f>
        <v>0</v>
      </c>
      <c r="T59" s="17">
        <f>N("Amazon Prime")-IF(DAY(A59)=Budget!$Q$3,Budget!$P$3,0)</f>
        <v>0</v>
      </c>
      <c r="U59" s="17">
        <f>N("Audible")-IF(DAY(A59)=Budget!$Q$12,Budget!$P$12,0)</f>
        <v>0</v>
      </c>
      <c r="V59" s="17">
        <f>N("Crunchyroll")-IF(DAY(A59)=Budget!$Q$5,Budget!$P$5,0)</f>
        <v>0</v>
      </c>
      <c r="W59" s="17">
        <f>N("HBO Max")-IF(DAY(A59)=Budget!$Q$6,Budget!$P$6,0)</f>
        <v>0</v>
      </c>
      <c r="X59" s="17">
        <f>N("Netflix")-IF(DAY(A59)=Budget!$Q$7,Budget!$P$7,0)</f>
        <v>0</v>
      </c>
      <c r="Y59" s="17">
        <f>N("Spotify")-IF(DAY(A59)=Budget!$Q$8,Budget!$P$8,0)</f>
        <v>0</v>
      </c>
      <c r="Z59" s="17">
        <f>N("Truebill")-IF(DAY(A59)=Budget!$Q$9,Budget!$P$9,0)</f>
        <v>0</v>
      </c>
      <c r="AA59" s="6">
        <f t="shared" si="4"/>
        <v>0</v>
      </c>
    </row>
    <row r="60" spans="1:27" x14ac:dyDescent="0.3">
      <c r="A60" s="4">
        <f t="shared" si="5"/>
        <v>45712</v>
      </c>
      <c r="B60" s="2">
        <f t="shared" si="6"/>
        <v>3000.77</v>
      </c>
      <c r="C60" s="7">
        <f t="shared" si="7"/>
        <v>1</v>
      </c>
      <c r="D60" s="1">
        <v>0</v>
      </c>
      <c r="E60" s="17">
        <f>N("PAY-LM")+IF(WEEKDAY(A60)=Budget!$C$3,Budget!$B$3,0)</f>
        <v>0</v>
      </c>
      <c r="F60" s="17">
        <f>N("Rent")-IF(DAY(A60)=Budget!$G$3,Budget!$F$3,0)</f>
        <v>0</v>
      </c>
      <c r="G60" s="17">
        <f>N("Car")-IF(DAY(A60)=Budget!$G$4,Budget!$F$4+Budget!$H$4,0)</f>
        <v>0</v>
      </c>
      <c r="H60" s="17">
        <f>N("Mom Rent")-IF(DAY(A60)=Budget!$G$5,Budget!$F$5,0)</f>
        <v>0</v>
      </c>
      <c r="I60" s="17">
        <f>N("AT&amp;T")-IF(DAY(A60)=Budget!$G$8,Budget!$F$8,0)</f>
        <v>0</v>
      </c>
      <c r="J60" s="17">
        <f>N("GA Power")-IF(DAY(A60)=Budget!$G$9,Budget!$F$9,0)</f>
        <v>0</v>
      </c>
      <c r="K60" s="17">
        <f>N("Haircut")-IF(DAY(A60)=Budget!$G$10,Budget!$F$10,0)</f>
        <v>0</v>
      </c>
      <c r="L60" s="17">
        <f>N("Groceries")-IF(DAY(A60)=Budget!$G$6,Budget!$F$6,0)</f>
        <v>0</v>
      </c>
      <c r="M60" s="17">
        <f>N("Savings")-IF(DAY(A60)=Budget!$G$7,Budget!$F$7,0)</f>
        <v>0</v>
      </c>
      <c r="N60" s="17">
        <f>N("Car Insurance")-COUNTIF(Budget!$G$14, A60)*Budget!$F$14</f>
        <v>0</v>
      </c>
      <c r="O60" s="17">
        <f>N("Phone Bill")-COUNTIF(Budget!$G$15, A60)*Budget!$F$15</f>
        <v>0</v>
      </c>
      <c r="Q60" s="17">
        <f>N("Spotify")-IF(AND(DAY($A60)=Budget!$M$3, MONTH($A60)=Budget!$L$3),Budget!$K$3,0)</f>
        <v>0</v>
      </c>
      <c r="R60" s="17">
        <f>N("Spotify")-IF(AND(DAY($A60)=Budget!$M$4, MONTH($A60)=Budget!$L$4),Budget!$K$4,0)</f>
        <v>0</v>
      </c>
      <c r="S60" s="17">
        <f>N("Spotify")-IF(AND(DAY($A60)=Budget!$M$5, MONTH($A60)=Budget!$L$5),Budget!$K$5,0)</f>
        <v>0</v>
      </c>
      <c r="T60" s="17">
        <f>N("Amazon Prime")-IF(DAY(A60)=Budget!$Q$3,Budget!$P$3,0)</f>
        <v>0</v>
      </c>
      <c r="U60" s="17">
        <f>N("Audible")-IF(DAY(A60)=Budget!$Q$12,Budget!$P$12,0)</f>
        <v>0</v>
      </c>
      <c r="V60" s="17">
        <f>N("Crunchyroll")-IF(DAY(A60)=Budget!$Q$5,Budget!$P$5,0)</f>
        <v>0</v>
      </c>
      <c r="W60" s="17">
        <f>N("HBO Max")-IF(DAY(A60)=Budget!$Q$6,Budget!$P$6,0)</f>
        <v>0</v>
      </c>
      <c r="X60" s="17">
        <f>N("Netflix")-IF(DAY(A60)=Budget!$Q$7,Budget!$P$7,0)</f>
        <v>0</v>
      </c>
      <c r="Y60" s="17">
        <f>N("Spotify")-IF(DAY(A60)=Budget!$Q$8,Budget!$P$8,0)</f>
        <v>0</v>
      </c>
      <c r="Z60" s="17">
        <f>N("Truebill")-IF(DAY(A60)=Budget!$Q$9,Budget!$P$9,0)</f>
        <v>0</v>
      </c>
      <c r="AA60" s="6">
        <f t="shared" si="4"/>
        <v>0</v>
      </c>
    </row>
    <row r="61" spans="1:27" x14ac:dyDescent="0.3">
      <c r="A61" s="4">
        <f t="shared" si="5"/>
        <v>45713</v>
      </c>
      <c r="B61" s="2">
        <f>2681.33</f>
        <v>2681.33</v>
      </c>
      <c r="C61" s="7">
        <f t="shared" si="7"/>
        <v>0</v>
      </c>
      <c r="D61" s="1">
        <v>0</v>
      </c>
      <c r="E61" s="17">
        <f>N("PAY-LM")+IF(WEEKDAY(A61)=Budget!$C$3,Budget!$B$3,0)</f>
        <v>0</v>
      </c>
      <c r="F61" s="17">
        <f>N("Rent")-IF(DAY(A61)=Budget!$G$3,Budget!$F$3,0)</f>
        <v>0</v>
      </c>
      <c r="G61" s="17">
        <f>N("Car")-IF(DAY(A61)=Budget!$G$4,Budget!$F$4+Budget!$H$4,0)</f>
        <v>0</v>
      </c>
      <c r="H61" s="17">
        <f>N("Mom Rent")-IF(DAY(A61)=Budget!$G$5,Budget!$F$5,0)</f>
        <v>0</v>
      </c>
      <c r="I61" s="17">
        <f>N("AT&amp;T")-IF(DAY(A61)=Budget!$G$8,Budget!$F$8,0)</f>
        <v>0</v>
      </c>
      <c r="J61" s="17">
        <f>N("GA Power")-IF(DAY(A61)=Budget!$G$9,Budget!$F$9,0)</f>
        <v>0</v>
      </c>
      <c r="K61" s="17">
        <f>N("Haircut")-IF(DAY(A61)=Budget!$G$10,Budget!$F$10,0)</f>
        <v>0</v>
      </c>
      <c r="L61" s="17">
        <f>N("Groceries")-IF(DAY(A61)=Budget!$G$6,Budget!$F$6,0)</f>
        <v>0</v>
      </c>
      <c r="M61" s="17">
        <f>N("Savings")-IF(DAY(A61)=Budget!$G$7,Budget!$F$7,0)</f>
        <v>0</v>
      </c>
      <c r="N61" s="17">
        <f>N("Car Insurance")-COUNTIF(Budget!$G$14, A61)*Budget!$F$14</f>
        <v>0</v>
      </c>
      <c r="O61" s="17">
        <f>N("Phone Bill")-COUNTIF(Budget!$G$15, A61)*Budget!$F$15</f>
        <v>0</v>
      </c>
      <c r="Q61" s="17">
        <f>N("Spotify")-IF(AND(DAY($A61)=Budget!$M$3, MONTH($A61)=Budget!$L$3),Budget!$K$3,0)</f>
        <v>0</v>
      </c>
      <c r="R61" s="17">
        <f>N("Spotify")-IF(AND(DAY($A61)=Budget!$M$4, MONTH($A61)=Budget!$L$4),Budget!$K$4,0)</f>
        <v>0</v>
      </c>
      <c r="S61" s="17">
        <f>N("Spotify")-IF(AND(DAY($A61)=Budget!$M$5, MONTH($A61)=Budget!$L$5),Budget!$K$5,0)</f>
        <v>0</v>
      </c>
      <c r="T61" s="17">
        <f>N("Amazon Prime")-IF(DAY(A61)=Budget!$Q$3,Budget!$P$3,0)</f>
        <v>0</v>
      </c>
      <c r="U61" s="17">
        <f>N("Audible")-IF(DAY(A61)=Budget!$Q$12,Budget!$P$12,0)</f>
        <v>0</v>
      </c>
      <c r="V61" s="17">
        <f>N("Crunchyroll")-IF(DAY(A61)=Budget!$Q$5,Budget!$P$5,0)</f>
        <v>0</v>
      </c>
      <c r="W61" s="17">
        <f>N("HBO Max")-IF(DAY(A61)=Budget!$Q$6,Budget!$P$6,0)</f>
        <v>0</v>
      </c>
      <c r="X61" s="17">
        <f>N("Netflix")-IF(DAY(A61)=Budget!$Q$7,Budget!$P$7,0)</f>
        <v>0</v>
      </c>
      <c r="Y61" s="17">
        <f>N("Spotify")-IF(DAY(A61)=Budget!$Q$8,Budget!$P$8,0)</f>
        <v>0</v>
      </c>
      <c r="Z61" s="17">
        <f>N("Truebill")-IF(DAY(A61)=Budget!$Q$9,Budget!$P$9,0)</f>
        <v>0</v>
      </c>
      <c r="AA61" s="6">
        <f t="shared" si="4"/>
        <v>0</v>
      </c>
    </row>
    <row r="62" spans="1:27" x14ac:dyDescent="0.3">
      <c r="A62" s="4">
        <f t="shared" si="5"/>
        <v>45714</v>
      </c>
      <c r="B62" s="2">
        <f t="shared" si="6"/>
        <v>2281.33</v>
      </c>
      <c r="C62" s="7">
        <f t="shared" si="7"/>
        <v>0</v>
      </c>
      <c r="D62" s="1">
        <v>0</v>
      </c>
      <c r="E62" s="17">
        <f>N("PAY-LM")+IF(WEEKDAY(A62)=Budget!$C$3,Budget!$B$3,0)</f>
        <v>0</v>
      </c>
      <c r="F62" s="17">
        <f>N("Rent")-IF(DAY(A62)=Budget!$G$3,Budget!$F$3,0)</f>
        <v>0</v>
      </c>
      <c r="G62" s="17">
        <f>N("Car")-IF(DAY(A62)=Budget!$G$4,Budget!$F$4+Budget!$H$4,0)</f>
        <v>0</v>
      </c>
      <c r="H62" s="17">
        <f>N("Mom Rent")-IF(DAY(A62)=Budget!$G$5,Budget!$F$5,0)</f>
        <v>0</v>
      </c>
      <c r="I62" s="17">
        <f>N("AT&amp;T")-IF(DAY(A62)=Budget!$G$8,Budget!$F$8,0)</f>
        <v>0</v>
      </c>
      <c r="J62" s="17">
        <f>N("GA Power")-IF(DAY(A62)=Budget!$G$9,Budget!$F$9,0)</f>
        <v>0</v>
      </c>
      <c r="K62" s="17">
        <f>N("Haircut")-IF(DAY(A62)=Budget!$G$10,Budget!$F$10,0)</f>
        <v>-400</v>
      </c>
      <c r="L62" s="17">
        <f>N("Groceries")-IF(DAY(A62)=Budget!$G$6,Budget!$F$6,0)</f>
        <v>0</v>
      </c>
      <c r="M62" s="17">
        <f>N("Savings")-IF(DAY(A62)=Budget!$G$7,Budget!$F$7,0)</f>
        <v>0</v>
      </c>
      <c r="N62" s="17">
        <f>N("Car Insurance")-COUNTIF(Budget!$G$14, A62)*Budget!$F$14</f>
        <v>0</v>
      </c>
      <c r="O62" s="17">
        <f>N("Phone Bill")-COUNTIF(Budget!$G$15, A62)*Budget!$F$15</f>
        <v>0</v>
      </c>
      <c r="Q62" s="17">
        <f>N("Spotify")-IF(AND(DAY($A62)=Budget!$M$3, MONTH($A62)=Budget!$L$3),Budget!$K$3,0)</f>
        <v>0</v>
      </c>
      <c r="R62" s="17">
        <f>N("Spotify")-IF(AND(DAY($A62)=Budget!$M$4, MONTH($A62)=Budget!$L$4),Budget!$K$4,0)</f>
        <v>0</v>
      </c>
      <c r="S62" s="17">
        <f>N("Spotify")-IF(AND(DAY($A62)=Budget!$M$5, MONTH($A62)=Budget!$L$5),Budget!$K$5,0)</f>
        <v>0</v>
      </c>
      <c r="T62" s="17">
        <f>N("Amazon Prime")-IF(DAY(A62)=Budget!$Q$3,Budget!$P$3,0)</f>
        <v>0</v>
      </c>
      <c r="U62" s="17">
        <f>N("Audible")-IF(DAY(A62)=Budget!$Q$12,Budget!$P$12,0)</f>
        <v>0</v>
      </c>
      <c r="V62" s="17">
        <f>N("Crunchyroll")-IF(DAY(A62)=Budget!$Q$5,Budget!$P$5,0)</f>
        <v>0</v>
      </c>
      <c r="W62" s="17">
        <f>N("HBO Max")-IF(DAY(A62)=Budget!$Q$6,Budget!$P$6,0)</f>
        <v>0</v>
      </c>
      <c r="X62" s="17">
        <f>N("Netflix")-IF(DAY(A62)=Budget!$Q$7,Budget!$P$7,0)</f>
        <v>0</v>
      </c>
      <c r="Y62" s="17">
        <f>N("Spotify")-IF(DAY(A62)=Budget!$Q$8,Budget!$P$8,0)</f>
        <v>0</v>
      </c>
      <c r="Z62" s="17">
        <f>N("Truebill")-IF(DAY(A62)=Budget!$Q$9,Budget!$P$9,0)</f>
        <v>0</v>
      </c>
      <c r="AA62" s="6">
        <f t="shared" si="4"/>
        <v>-400</v>
      </c>
    </row>
    <row r="63" spans="1:27" x14ac:dyDescent="0.3">
      <c r="A63" s="4">
        <f t="shared" si="5"/>
        <v>45715</v>
      </c>
      <c r="B63" s="2">
        <f t="shared" si="6"/>
        <v>2281.33</v>
      </c>
      <c r="C63" s="7">
        <f t="shared" si="7"/>
        <v>1</v>
      </c>
      <c r="D63" s="1">
        <v>0</v>
      </c>
      <c r="E63" s="17">
        <f>N("PAY-LM")+IF(WEEKDAY(A63)=Budget!$C$3,Budget!$B$3,0)</f>
        <v>0</v>
      </c>
      <c r="F63" s="17">
        <f>N("Rent")-IF(DAY(A63)=Budget!$G$3,Budget!$F$3,0)</f>
        <v>0</v>
      </c>
      <c r="G63" s="17">
        <f>N("Car")-IF(DAY(A63)=Budget!$G$4,Budget!$F$4+Budget!$H$4,0)</f>
        <v>0</v>
      </c>
      <c r="H63" s="17">
        <f>N("Mom Rent")-IF(DAY(A63)=Budget!$G$5,Budget!$F$5,0)</f>
        <v>0</v>
      </c>
      <c r="I63" s="17">
        <f>N("AT&amp;T")-IF(DAY(A63)=Budget!$G$8,Budget!$F$8,0)</f>
        <v>0</v>
      </c>
      <c r="J63" s="17">
        <f>N("GA Power")-IF(DAY(A63)=Budget!$G$9,Budget!$F$9,0)</f>
        <v>0</v>
      </c>
      <c r="K63" s="17">
        <f>N("Haircut")-IF(DAY(A63)=Budget!$G$10,Budget!$F$10,0)</f>
        <v>0</v>
      </c>
      <c r="L63" s="17">
        <f>N("Groceries")-IF(DAY(A63)=Budget!$G$6,Budget!$F$6,0)</f>
        <v>0</v>
      </c>
      <c r="M63" s="17">
        <f>N("Savings")-IF(DAY(A63)=Budget!$G$7,Budget!$F$7,0)</f>
        <v>0</v>
      </c>
      <c r="N63" s="17">
        <f>N("Car Insurance")-COUNTIF(Budget!$G$14, A63)*Budget!$F$14</f>
        <v>0</v>
      </c>
      <c r="O63" s="17">
        <f>N("Phone Bill")-COUNTIF(Budget!$G$15, A63)*Budget!$F$15</f>
        <v>0</v>
      </c>
      <c r="Q63" s="17">
        <f>N("Spotify")-IF(AND(DAY($A63)=Budget!$M$3, MONTH($A63)=Budget!$L$3),Budget!$K$3,0)</f>
        <v>0</v>
      </c>
      <c r="R63" s="17">
        <f>N("Spotify")-IF(AND(DAY($A63)=Budget!$M$4, MONTH($A63)=Budget!$L$4),Budget!$K$4,0)</f>
        <v>0</v>
      </c>
      <c r="S63" s="17">
        <f>N("Spotify")-IF(AND(DAY($A63)=Budget!$M$5, MONTH($A63)=Budget!$L$5),Budget!$K$5,0)</f>
        <v>0</v>
      </c>
      <c r="T63" s="17">
        <f>N("Amazon Prime")-IF(DAY(A63)=Budget!$Q$3,Budget!$P$3,0)</f>
        <v>0</v>
      </c>
      <c r="U63" s="17">
        <f>N("Audible")-IF(DAY(A63)=Budget!$Q$12,Budget!$P$12,0)</f>
        <v>0</v>
      </c>
      <c r="V63" s="17">
        <f>N("Crunchyroll")-IF(DAY(A63)=Budget!$Q$5,Budget!$P$5,0)</f>
        <v>0</v>
      </c>
      <c r="W63" s="17">
        <f>N("HBO Max")-IF(DAY(A63)=Budget!$Q$6,Budget!$P$6,0)</f>
        <v>0</v>
      </c>
      <c r="X63" s="17">
        <f>N("Netflix")-IF(DAY(A63)=Budget!$Q$7,Budget!$P$7,0)</f>
        <v>0</v>
      </c>
      <c r="Y63" s="17">
        <f>N("Spotify")-IF(DAY(A63)=Budget!$Q$8,Budget!$P$8,0)</f>
        <v>0</v>
      </c>
      <c r="Z63" s="17">
        <f>N("Truebill")-IF(DAY(A63)=Budget!$Q$9,Budget!$P$9,0)</f>
        <v>0</v>
      </c>
      <c r="AA63" s="6">
        <f t="shared" si="4"/>
        <v>0</v>
      </c>
    </row>
    <row r="64" spans="1:27" x14ac:dyDescent="0.3">
      <c r="A64" s="4">
        <f t="shared" si="5"/>
        <v>45716</v>
      </c>
      <c r="B64" s="2">
        <f t="shared" si="6"/>
        <v>2584.33</v>
      </c>
      <c r="C64" s="7">
        <f t="shared" si="7"/>
        <v>2</v>
      </c>
      <c r="D64" s="1">
        <v>0</v>
      </c>
      <c r="E64" s="17">
        <f>N("PAY-LM")+IF(WEEKDAY(A64)=Budget!$C$3,Budget!$B$3,0)</f>
        <v>1453</v>
      </c>
      <c r="F64" s="17">
        <f>N("Rent")-IF(DAY(A64)=Budget!$G$3,Budget!$F$3,0)</f>
        <v>0</v>
      </c>
      <c r="G64" s="17">
        <f>N("Car")-IF(DAY(A64)=Budget!$G$4,Budget!$F$4+Budget!$H$4,0)</f>
        <v>0</v>
      </c>
      <c r="H64" s="17">
        <f>N("Mom Rent")-IF(DAY(A64)=Budget!$G$5,Budget!$F$5,0)</f>
        <v>0</v>
      </c>
      <c r="I64" s="17">
        <f>N("AT&amp;T")-IF(DAY(A64)=Budget!$G$8,Budget!$F$8,0)</f>
        <v>0</v>
      </c>
      <c r="J64" s="17">
        <f>N("GA Power")-IF(DAY(A64)=Budget!$G$9,Budget!$F$9,0)</f>
        <v>0</v>
      </c>
      <c r="K64" s="17">
        <f>N("Haircut")-IF(DAY(A64)=Budget!$G$10,Budget!$F$10,0)</f>
        <v>0</v>
      </c>
      <c r="L64" s="17">
        <f>N("Groceries")-IF(DAY(A64)=Budget!$G$6,Budget!$F$6,0)</f>
        <v>0</v>
      </c>
      <c r="M64" s="17">
        <f>N("Savings")-IF(DAY(A64)=Budget!$G$7,Budget!$F$7,0)</f>
        <v>-1000</v>
      </c>
      <c r="N64" s="17">
        <f>N("Car Insurance")-COUNTIF(Budget!$G$14, A64)*Budget!$F$14</f>
        <v>0</v>
      </c>
      <c r="O64" s="17">
        <f>N("Phone Bill")-COUNTIF(Budget!$G$15, A64)*Budget!$F$15</f>
        <v>0</v>
      </c>
      <c r="Q64" s="17">
        <f>N("Spotify")-IF(AND(DAY($A64)=Budget!$M$3, MONTH($A64)=Budget!$L$3),Budget!$K$3,0)</f>
        <v>0</v>
      </c>
      <c r="R64" s="17">
        <f>N("Spotify")-IF(AND(DAY($A64)=Budget!$M$4, MONTH($A64)=Budget!$L$4),Budget!$K$4,0)</f>
        <v>0</v>
      </c>
      <c r="S64" s="17">
        <f>N("Spotify")-IF(AND(DAY($A64)=Budget!$M$5, MONTH($A64)=Budget!$L$5),Budget!$K$5,0)</f>
        <v>0</v>
      </c>
      <c r="T64" s="17">
        <f>N("Amazon Prime")-IF(DAY(A64)=Budget!$Q$3,Budget!$P$3,0)</f>
        <v>0</v>
      </c>
      <c r="U64" s="17">
        <f>N("Audible")-IF(DAY(A64)=Budget!$Q$12,Budget!$P$12,0)</f>
        <v>0</v>
      </c>
      <c r="V64" s="17">
        <f>N("Crunchyroll")-IF(DAY(A64)=Budget!$Q$5,Budget!$P$5,0)</f>
        <v>0</v>
      </c>
      <c r="W64" s="17">
        <f>N("HBO Max")-IF(DAY(A64)=Budget!$Q$6,Budget!$P$6,0)</f>
        <v>0</v>
      </c>
      <c r="X64" s="17">
        <f>N("Netflix")-IF(DAY(A64)=Budget!$Q$7,Budget!$P$7,0)</f>
        <v>0</v>
      </c>
      <c r="Y64" s="17">
        <f>N("Spotify")-IF(DAY(A64)=Budget!$Q$8,Budget!$P$8,0)</f>
        <v>-150</v>
      </c>
      <c r="Z64" s="17">
        <f>N("Truebill")-IF(DAY(A64)=Budget!$Q$9,Budget!$P$9,0)</f>
        <v>0</v>
      </c>
      <c r="AA64" s="6">
        <f t="shared" si="4"/>
        <v>303</v>
      </c>
    </row>
    <row r="67" spans="1:30" x14ac:dyDescent="0.3">
      <c r="D67" s="40" t="s">
        <v>17</v>
      </c>
      <c r="E67" s="41" t="s">
        <v>15</v>
      </c>
      <c r="F67" s="41"/>
      <c r="G67" s="41"/>
      <c r="H67" s="41"/>
      <c r="I67" s="41"/>
      <c r="J67" s="41"/>
      <c r="K67" s="41"/>
      <c r="L67" s="41"/>
      <c r="M67" s="41"/>
      <c r="N67" s="42" t="str">
        <f>Budget!$E$12</f>
        <v>Annual Expenses</v>
      </c>
      <c r="O67" s="42"/>
      <c r="Q67" s="43" t="s">
        <v>36</v>
      </c>
      <c r="R67" s="43"/>
      <c r="S67" s="43"/>
      <c r="T67" s="41" t="s">
        <v>8</v>
      </c>
      <c r="U67" s="41"/>
      <c r="V67" s="41"/>
      <c r="W67" s="41"/>
      <c r="X67" s="41"/>
      <c r="Y67" s="41"/>
      <c r="Z67" s="41"/>
      <c r="AA67" s="10" t="s">
        <v>16</v>
      </c>
      <c r="AC67" s="6">
        <f>SUMIF(D69:Z99,"&lt;0")</f>
        <v>-5121.42</v>
      </c>
      <c r="AD67" s="6">
        <f>SUM(E69:E99)</f>
        <v>5812</v>
      </c>
    </row>
    <row r="68" spans="1:30" x14ac:dyDescent="0.3">
      <c r="A68" s="39">
        <f>EDATE(A36,1)</f>
        <v>45717</v>
      </c>
      <c r="B68" s="39"/>
      <c r="D68" s="40"/>
      <c r="E68" s="18" t="str">
        <f>Budget!$A$3</f>
        <v>PAY-LM</v>
      </c>
      <c r="F68" t="str">
        <f>Budget!$E$3</f>
        <v>Rent</v>
      </c>
      <c r="G68" t="str">
        <f>Budget!$E$4</f>
        <v>Car</v>
      </c>
      <c r="H68" t="str">
        <f>Budget!$E$5</f>
        <v>Mom Rent</v>
      </c>
      <c r="I68" t="str">
        <f>Budget!$E$8</f>
        <v>AT&amp;T</v>
      </c>
      <c r="J68" t="str">
        <f>Budget!$E$9</f>
        <v>GA Power</v>
      </c>
      <c r="K68" t="str">
        <f>Budget!$E$10</f>
        <v>TH</v>
      </c>
      <c r="L68" t="str">
        <f>Budget!$E$6</f>
        <v>Groceries</v>
      </c>
      <c r="M68" s="16" t="str">
        <f>Budget!$E$7</f>
        <v>Savings</v>
      </c>
      <c r="N68" t="str">
        <f>Budget!$E$14</f>
        <v>Car Insurance</v>
      </c>
      <c r="O68" t="str">
        <f>Budget!$E$15</f>
        <v>Phone Bill</v>
      </c>
      <c r="Q68" t="str">
        <f>Budget!$J$3</f>
        <v>Capital One</v>
      </c>
      <c r="R68" t="str">
        <f>Budget!$J$4</f>
        <v>Chase</v>
      </c>
      <c r="S68" t="str">
        <f>Budget!$J$5</f>
        <v>NFCU</v>
      </c>
      <c r="T68" t="str">
        <f>Budget!$O$3</f>
        <v>Amazon Prime</v>
      </c>
      <c r="U68" t="str">
        <f>Budget!$O$12</f>
        <v>Audible</v>
      </c>
      <c r="V68" t="str">
        <f>Budget!$O$5</f>
        <v>Netflix</v>
      </c>
      <c r="W68" t="str">
        <f>Budget!$O$6</f>
        <v>Spotify</v>
      </c>
      <c r="X68" t="str">
        <f>Budget!$O$7</f>
        <v>Rocket Money</v>
      </c>
      <c r="Y68" t="str">
        <f>Budget!$O$8</f>
        <v>Little4Much</v>
      </c>
      <c r="Z68" t="str">
        <f>Budget!$O$9</f>
        <v>None</v>
      </c>
      <c r="AA68" s="10"/>
      <c r="AC68" s="3">
        <f>AD67+AC67</f>
        <v>690.57999999999993</v>
      </c>
    </row>
    <row r="69" spans="1:30" x14ac:dyDescent="0.3">
      <c r="A69" s="4">
        <f>A68</f>
        <v>45717</v>
      </c>
      <c r="B69" s="2">
        <f>B64+AA69</f>
        <v>961.32999999999993</v>
      </c>
      <c r="C69" s="7">
        <f>IF(B69&gt;B64,2,IF(B69=B64, 1,0))</f>
        <v>0</v>
      </c>
      <c r="D69" s="1">
        <v>110</v>
      </c>
      <c r="E69" s="17">
        <f>N("PAY-LM")+IF(WEEKDAY(A69)=Budget!$C$3,Budget!$B$3,0)</f>
        <v>0</v>
      </c>
      <c r="F69" s="17">
        <f>N("Rent")-IF(DAY(A69)=Budget!$G$3,Budget!$F$3,0)</f>
        <v>-1733</v>
      </c>
      <c r="G69" s="17">
        <f>N("Car")-IF(DAY(A69)=Budget!$G$4,Budget!$F$4+Budget!$H$4,0)</f>
        <v>0</v>
      </c>
      <c r="H69" s="17">
        <f>N("Mom Rent")-IF(DAY(A69)=Budget!$G$5,Budget!$F$5,0)</f>
        <v>0</v>
      </c>
      <c r="I69" s="17">
        <f>N("AT&amp;T")-IF(DAY(A69)=Budget!$G$8,Budget!$F$8,0)</f>
        <v>0</v>
      </c>
      <c r="J69" s="17">
        <f>N("GA Power")-IF(DAY(A69)=Budget!$G$9,Budget!$F$9,0)</f>
        <v>0</v>
      </c>
      <c r="K69" s="17">
        <f>N("Haircut")-IF(DAY(A69)=Budget!$G$10,Budget!$F$10,0)</f>
        <v>0</v>
      </c>
      <c r="L69" s="17">
        <f>N("Groceries")-IF(DAY(A69)=Budget!$G$6,Budget!$F$6,0)</f>
        <v>0</v>
      </c>
      <c r="M69" s="17">
        <f>N("Savings")-IF(DAY(A69)=Budget!$G$7,Budget!$F$7,0)</f>
        <v>0</v>
      </c>
      <c r="N69" s="17">
        <f>N("Car Insurance")-COUNTIF(Budget!$G$14, A69)*Budget!$F$14</f>
        <v>0</v>
      </c>
      <c r="O69" s="17">
        <f>N("Phone Bill")-COUNTIF(Budget!$G$15, A69)*Budget!$F$15</f>
        <v>0</v>
      </c>
      <c r="Q69" s="17">
        <f>N("Spotify")-IF(AND(DAY($A69)=Budget!$M$3, MONTH($A69)=Budget!$L$3),Budget!$K$3,0)</f>
        <v>0</v>
      </c>
      <c r="R69" s="17">
        <f>N("Spotify")-IF(AND(DAY($A69)=Budget!$M$4, MONTH($A69)=Budget!$L$4),Budget!$K$4,0)</f>
        <v>0</v>
      </c>
      <c r="S69" s="17">
        <f>N("Spotify")-IF(AND(DAY($A69)=Budget!$M$5, MONTH($A69)=Budget!$L$5),Budget!$K$5,0)</f>
        <v>0</v>
      </c>
      <c r="T69" s="17">
        <f>N("Amazon Prime")-IF(DAY(A69)=Budget!$Q$3,Budget!$P$3,0)</f>
        <v>0</v>
      </c>
      <c r="U69" s="17">
        <f>N("Audible")-IF(DAY(A69)=Budget!$Q$12,Budget!$P$12,0)</f>
        <v>0</v>
      </c>
      <c r="V69" s="17">
        <f>N("Crunchyroll")-IF(DAY(A69)=Budget!$Q$5,Budget!$P$5,0)</f>
        <v>0</v>
      </c>
      <c r="W69" s="17">
        <f>N("HBO Max")-IF(DAY(A69)=Budget!$Q$6,Budget!$P$6,0)</f>
        <v>0</v>
      </c>
      <c r="X69" s="17">
        <f>N("Netflix")-IF(DAY(A69)=Budget!$Q$7,Budget!$P$7,0)</f>
        <v>0</v>
      </c>
      <c r="Y69" s="17">
        <f>N("Spotify")-IF(DAY(A69)=Budget!$Q$8,Budget!$P$8,0)</f>
        <v>0</v>
      </c>
      <c r="Z69" s="17">
        <f>N("Truebill")-IF(DAY(A69)=Budget!$Q$9,Budget!$P$9,0)</f>
        <v>0</v>
      </c>
      <c r="AA69" s="6">
        <f t="shared" ref="AA69:AA99" si="8">SUM(D69:Z69)</f>
        <v>-1623</v>
      </c>
    </row>
    <row r="70" spans="1:30" x14ac:dyDescent="0.3">
      <c r="A70" s="4">
        <f>A69+1</f>
        <v>45718</v>
      </c>
      <c r="B70" s="2">
        <f t="shared" ref="B70:B99" si="9">B69+AA70</f>
        <v>157.9799999999999</v>
      </c>
      <c r="C70" s="7">
        <f>IF(B70&gt;B69,2,IF(B70=B69, 1,0))</f>
        <v>0</v>
      </c>
      <c r="D70" s="1">
        <v>0</v>
      </c>
      <c r="E70" s="17">
        <f>N("PAY-LM")+IF(WEEKDAY(A70)=Budget!$C$3,Budget!$B$3,0)</f>
        <v>0</v>
      </c>
      <c r="F70" s="17">
        <f>N("Rent")-IF(DAY(A70)=Budget!$G$3,Budget!$F$3,0)</f>
        <v>0</v>
      </c>
      <c r="G70" s="17">
        <f>N("Car")-IF(DAY(A70)=Budget!$G$4,Budget!$F$4+Budget!$H$4,0)</f>
        <v>-503.35</v>
      </c>
      <c r="H70" s="17">
        <f>N("Mom Rent")-IF(DAY(A70)=Budget!$G$5,Budget!$F$5,0)</f>
        <v>0</v>
      </c>
      <c r="I70" s="17">
        <f>N("AT&amp;T")-IF(DAY(A70)=Budget!$G$8,Budget!$F$8,0)</f>
        <v>0</v>
      </c>
      <c r="J70" s="17">
        <f>N("GA Power")-IF(DAY(A70)=Budget!$G$9,Budget!$F$9,0)</f>
        <v>0</v>
      </c>
      <c r="K70" s="17">
        <f>N("Haircut")-IF(DAY(A70)=Budget!$G$10,Budget!$F$10,0)</f>
        <v>0</v>
      </c>
      <c r="L70" s="17">
        <f>N("Groceries")-IF(DAY(A70)=Budget!$G$6,Budget!$F$6,0)</f>
        <v>-300</v>
      </c>
      <c r="M70" s="17">
        <f>N("Savings")-IF(DAY(A70)=Budget!$G$7,Budget!$F$7,0)</f>
        <v>0</v>
      </c>
      <c r="N70" s="17">
        <f>N("Car Insurance")-COUNTIF(Budget!$G$14, A70)*Budget!$F$14</f>
        <v>0</v>
      </c>
      <c r="O70" s="17">
        <f>N("Phone Bill")-COUNTIF(Budget!$G$15, A70)*Budget!$F$15</f>
        <v>0</v>
      </c>
      <c r="Q70" s="17">
        <f>N("Spotify")-IF(AND(DAY($A70)=Budget!$M$3, MONTH($A70)=Budget!$L$3),Budget!$K$3,0)</f>
        <v>0</v>
      </c>
      <c r="R70" s="17">
        <f>N("Spotify")-IF(AND(DAY($A70)=Budget!$M$4, MONTH($A70)=Budget!$L$4),Budget!$K$4,0)</f>
        <v>0</v>
      </c>
      <c r="S70" s="17">
        <f>N("Spotify")-IF(AND(DAY($A70)=Budget!$M$5, MONTH($A70)=Budget!$L$5),Budget!$K$5,0)</f>
        <v>0</v>
      </c>
      <c r="T70" s="17">
        <f>N("Amazon Prime")-IF(DAY(A70)=Budget!$Q$3,Budget!$P$3,0)</f>
        <v>0</v>
      </c>
      <c r="U70" s="17">
        <f>N("Audible")-IF(DAY(A70)=Budget!$Q$12,Budget!$P$12,0)</f>
        <v>0</v>
      </c>
      <c r="V70" s="17">
        <f>N("Crunchyroll")-IF(DAY(A70)=Budget!$Q$5,Budget!$P$5,0)</f>
        <v>0</v>
      </c>
      <c r="W70" s="17">
        <f>N("HBO Max")-IF(DAY(A70)=Budget!$Q$6,Budget!$P$6,0)</f>
        <v>0</v>
      </c>
      <c r="X70" s="17">
        <f>N("Netflix")-IF(DAY(A70)=Budget!$Q$7,Budget!$P$7,0)</f>
        <v>0</v>
      </c>
      <c r="Y70" s="17">
        <f>N("Spotify")-IF(DAY(A70)=Budget!$Q$8,Budget!$P$8,0)</f>
        <v>0</v>
      </c>
      <c r="Z70" s="17">
        <f>N("Truebill")-IF(DAY(A70)=Budget!$Q$9,Budget!$P$9,0)</f>
        <v>0</v>
      </c>
      <c r="AA70" s="6">
        <f t="shared" si="8"/>
        <v>-803.35</v>
      </c>
    </row>
    <row r="71" spans="1:30" x14ac:dyDescent="0.3">
      <c r="A71" s="4">
        <f t="shared" ref="A71:A99" si="10">A70+1</f>
        <v>45719</v>
      </c>
      <c r="B71" s="2">
        <f t="shared" si="9"/>
        <v>157.9799999999999</v>
      </c>
      <c r="C71" s="7">
        <f t="shared" ref="C71:C96" si="11">IF(B71&gt;B70,2,IF(B71=B70, 1,0))</f>
        <v>1</v>
      </c>
      <c r="D71" s="1">
        <v>0</v>
      </c>
      <c r="E71" s="17">
        <f>N("PAY-LM")+IF(WEEKDAY(A71)=Budget!$C$3,Budget!$B$3,0)</f>
        <v>0</v>
      </c>
      <c r="F71" s="17">
        <f>N("Rent")-IF(DAY(A71)=Budget!$G$3,Budget!$F$3,0)</f>
        <v>0</v>
      </c>
      <c r="G71" s="17">
        <f>N("Car")-IF(DAY(A71)=Budget!$G$4,Budget!$F$4+Budget!$H$4,0)</f>
        <v>0</v>
      </c>
      <c r="H71" s="17">
        <f>N("Mom Rent")-IF(DAY(A71)=Budget!$G$5,Budget!$F$5,0)</f>
        <v>0</v>
      </c>
      <c r="I71" s="17">
        <f>N("AT&amp;T")-IF(DAY(A71)=Budget!$G$8,Budget!$F$8,0)</f>
        <v>0</v>
      </c>
      <c r="J71" s="17">
        <f>N("GA Power")-IF(DAY(A71)=Budget!$G$9,Budget!$F$9,0)</f>
        <v>0</v>
      </c>
      <c r="K71" s="17">
        <f>N("Haircut")-IF(DAY(A71)=Budget!$G$10,Budget!$F$10,0)</f>
        <v>0</v>
      </c>
      <c r="L71" s="17">
        <f>N("Groceries")-IF(DAY(A71)=Budget!$G$6,Budget!$F$6,0)</f>
        <v>0</v>
      </c>
      <c r="M71" s="17">
        <f>N("Savings")-IF(DAY(A71)=Budget!$G$7,Budget!$F$7,0)</f>
        <v>0</v>
      </c>
      <c r="N71" s="17">
        <f>N("Car Insurance")-COUNTIF(Budget!$G$14, A71)*Budget!$F$14</f>
        <v>0</v>
      </c>
      <c r="O71" s="17">
        <f>N("Phone Bill")-COUNTIF(Budget!$G$15, A71)*Budget!$F$15</f>
        <v>0</v>
      </c>
      <c r="Q71" s="17">
        <f>N("Spotify")-IF(AND(DAY($A71)=Budget!$M$3, MONTH($A71)=Budget!$L$3),Budget!$K$3,0)</f>
        <v>0</v>
      </c>
      <c r="R71" s="17">
        <f>N("Spotify")-IF(AND(DAY($A71)=Budget!$M$4, MONTH($A71)=Budget!$L$4),Budget!$K$4,0)</f>
        <v>0</v>
      </c>
      <c r="S71" s="17">
        <f>N("Spotify")-IF(AND(DAY($A71)=Budget!$M$5, MONTH($A71)=Budget!$L$5),Budget!$K$5,0)</f>
        <v>0</v>
      </c>
      <c r="T71" s="17">
        <f>N("Amazon Prime")-IF(DAY(A71)=Budget!$Q$3,Budget!$P$3,0)</f>
        <v>0</v>
      </c>
      <c r="U71" s="17">
        <f>N("Audible")-IF(DAY(A71)=Budget!$Q$12,Budget!$P$12,0)</f>
        <v>0</v>
      </c>
      <c r="V71" s="17">
        <f>N("Crunchyroll")-IF(DAY(A71)=Budget!$Q$5,Budget!$P$5,0)</f>
        <v>0</v>
      </c>
      <c r="W71" s="17">
        <f>N("HBO Max")-IF(DAY(A71)=Budget!$Q$6,Budget!$P$6,0)</f>
        <v>0</v>
      </c>
      <c r="X71" s="17">
        <f>N("Netflix")-IF(DAY(A71)=Budget!$Q$7,Budget!$P$7,0)</f>
        <v>0</v>
      </c>
      <c r="Y71" s="17">
        <f>N("Spotify")-IF(DAY(A71)=Budget!$Q$8,Budget!$P$8,0)</f>
        <v>0</v>
      </c>
      <c r="Z71" s="17">
        <f>N("Truebill")-IF(DAY(A71)=Budget!$Q$9,Budget!$P$9,0)</f>
        <v>0</v>
      </c>
      <c r="AA71" s="6">
        <f t="shared" si="8"/>
        <v>0</v>
      </c>
    </row>
    <row r="72" spans="1:30" x14ac:dyDescent="0.3">
      <c r="A72" s="4">
        <f t="shared" si="10"/>
        <v>45720</v>
      </c>
      <c r="B72" s="2">
        <f t="shared" si="9"/>
        <v>157.9799999999999</v>
      </c>
      <c r="C72" s="7">
        <f t="shared" si="11"/>
        <v>1</v>
      </c>
      <c r="D72" s="1">
        <v>0</v>
      </c>
      <c r="E72" s="17">
        <f>N("PAY-LM")+IF(WEEKDAY(A72)=Budget!$C$3,Budget!$B$3,0)</f>
        <v>0</v>
      </c>
      <c r="F72" s="17">
        <f>N("Rent")-IF(DAY(A72)=Budget!$G$3,Budget!$F$3,0)</f>
        <v>0</v>
      </c>
      <c r="G72" s="17">
        <f>N("Car")-IF(DAY(A72)=Budget!$G$4,Budget!$F$4+Budget!$H$4,0)</f>
        <v>0</v>
      </c>
      <c r="H72" s="17">
        <f>N("Mom Rent")-IF(DAY(A72)=Budget!$G$5,Budget!$F$5,0)</f>
        <v>0</v>
      </c>
      <c r="I72" s="17">
        <f>N("AT&amp;T")-IF(DAY(A72)=Budget!$G$8,Budget!$F$8,0)</f>
        <v>0</v>
      </c>
      <c r="J72" s="17">
        <f>N("GA Power")-IF(DAY(A72)=Budget!$G$9,Budget!$F$9,0)</f>
        <v>0</v>
      </c>
      <c r="K72" s="17">
        <f>N("Haircut")-IF(DAY(A72)=Budget!$G$10,Budget!$F$10,0)</f>
        <v>0</v>
      </c>
      <c r="L72" s="17">
        <f>N("Groceries")-IF(DAY(A72)=Budget!$G$6,Budget!$F$6,0)</f>
        <v>0</v>
      </c>
      <c r="M72" s="17">
        <f>N("Savings")-IF(DAY(A72)=Budget!$G$7,Budget!$F$7,0)</f>
        <v>0</v>
      </c>
      <c r="N72" s="17">
        <f>N("Car Insurance")-COUNTIF(Budget!$G$14, A72)*Budget!$F$14</f>
        <v>0</v>
      </c>
      <c r="O72" s="17">
        <f>N("Phone Bill")-COUNTIF(Budget!$G$15, A72)*Budget!$F$15</f>
        <v>0</v>
      </c>
      <c r="Q72" s="17">
        <f>N("Spotify")-IF(AND(DAY($A72)=Budget!$M$3, MONTH($A72)=Budget!$L$3),Budget!$K$3,0)</f>
        <v>0</v>
      </c>
      <c r="R72" s="17">
        <f>N("Spotify")-IF(AND(DAY($A72)=Budget!$M$4, MONTH($A72)=Budget!$L$4),Budget!$K$4,0)</f>
        <v>0</v>
      </c>
      <c r="S72" s="17">
        <f>N("Spotify")-IF(AND(DAY($A72)=Budget!$M$5, MONTH($A72)=Budget!$L$5),Budget!$K$5,0)</f>
        <v>0</v>
      </c>
      <c r="T72" s="17">
        <f>N("Amazon Prime")-IF(DAY(A72)=Budget!$Q$3,Budget!$P$3,0)</f>
        <v>0</v>
      </c>
      <c r="U72" s="17">
        <f>N("Audible")-IF(DAY(A72)=Budget!$Q$12,Budget!$P$12,0)</f>
        <v>0</v>
      </c>
      <c r="V72" s="17">
        <f>N("Crunchyroll")-IF(DAY(A72)=Budget!$Q$5,Budget!$P$5,0)</f>
        <v>0</v>
      </c>
      <c r="W72" s="17">
        <f>N("HBO Max")-IF(DAY(A72)=Budget!$Q$6,Budget!$P$6,0)</f>
        <v>0</v>
      </c>
      <c r="X72" s="17">
        <f>N("Netflix")-IF(DAY(A72)=Budget!$Q$7,Budget!$P$7,0)</f>
        <v>0</v>
      </c>
      <c r="Y72" s="17">
        <f>N("Spotify")-IF(DAY(A72)=Budget!$Q$8,Budget!$P$8,0)</f>
        <v>0</v>
      </c>
      <c r="Z72" s="17">
        <f>N("Truebill")-IF(DAY(A72)=Budget!$Q$9,Budget!$P$9,0)</f>
        <v>0</v>
      </c>
      <c r="AA72" s="6">
        <f t="shared" si="8"/>
        <v>0</v>
      </c>
    </row>
    <row r="73" spans="1:30" x14ac:dyDescent="0.3">
      <c r="A73" s="4">
        <f t="shared" si="10"/>
        <v>45721</v>
      </c>
      <c r="B73" s="2">
        <f t="shared" si="9"/>
        <v>87.979999999999905</v>
      </c>
      <c r="C73" s="7">
        <f t="shared" si="11"/>
        <v>0</v>
      </c>
      <c r="D73" s="1">
        <v>0</v>
      </c>
      <c r="E73" s="17">
        <f>N("PAY-LM")+IF(WEEKDAY(A73)=Budget!$C$3,Budget!$B$3,0)</f>
        <v>0</v>
      </c>
      <c r="F73" s="17">
        <f>N("Rent")-IF(DAY(A73)=Budget!$G$3,Budget!$F$3,0)</f>
        <v>0</v>
      </c>
      <c r="G73" s="17">
        <f>N("Car")-IF(DAY(A73)=Budget!$G$4,Budget!$F$4+Budget!$H$4,0)</f>
        <v>0</v>
      </c>
      <c r="H73" s="17">
        <f>N("Mom Rent")-IF(DAY(A73)=Budget!$G$5,Budget!$F$5,0)</f>
        <v>0</v>
      </c>
      <c r="I73" s="17">
        <f>N("AT&amp;T")-IF(DAY(A73)=Budget!$G$8,Budget!$F$8,0)</f>
        <v>0</v>
      </c>
      <c r="J73" s="17">
        <f>N("GA Power")-IF(DAY(A73)=Budget!$G$9,Budget!$F$9,0)</f>
        <v>-70</v>
      </c>
      <c r="K73" s="17">
        <f>N("Haircut")-IF(DAY(A73)=Budget!$G$10,Budget!$F$10,0)</f>
        <v>0</v>
      </c>
      <c r="L73" s="17">
        <f>N("Groceries")-IF(DAY(A73)=Budget!$G$6,Budget!$F$6,0)</f>
        <v>0</v>
      </c>
      <c r="M73" s="17">
        <f>N("Savings")-IF(DAY(A73)=Budget!$G$7,Budget!$F$7,0)</f>
        <v>0</v>
      </c>
      <c r="N73" s="17">
        <f>N("Car Insurance")-COUNTIF(Budget!$G$14, A73)*Budget!$F$14</f>
        <v>0</v>
      </c>
      <c r="O73" s="17">
        <f>N("Phone Bill")-COUNTIF(Budget!$G$15, A73)*Budget!$F$15</f>
        <v>0</v>
      </c>
      <c r="Q73" s="17">
        <f>N("Spotify")-IF(AND(DAY($A73)=Budget!$M$3, MONTH($A73)=Budget!$L$3),Budget!$K$3,0)</f>
        <v>0</v>
      </c>
      <c r="R73" s="17">
        <f>N("Spotify")-IF(AND(DAY($A73)=Budget!$M$4, MONTH($A73)=Budget!$L$4),Budget!$K$4,0)</f>
        <v>0</v>
      </c>
      <c r="S73" s="17">
        <f>N("Spotify")-IF(AND(DAY($A73)=Budget!$M$5, MONTH($A73)=Budget!$L$5),Budget!$K$5,0)</f>
        <v>0</v>
      </c>
      <c r="T73" s="17">
        <f>N("Amazon Prime")-IF(DAY(A73)=Budget!$Q$3,Budget!$P$3,0)</f>
        <v>0</v>
      </c>
      <c r="U73" s="17">
        <f>N("Audible")-IF(DAY(A73)=Budget!$Q$12,Budget!$P$12,0)</f>
        <v>0</v>
      </c>
      <c r="V73" s="17">
        <f>N("Crunchyroll")-IF(DAY(A73)=Budget!$Q$5,Budget!$P$5,0)</f>
        <v>0</v>
      </c>
      <c r="W73" s="17">
        <f>N("HBO Max")-IF(DAY(A73)=Budget!$Q$6,Budget!$P$6,0)</f>
        <v>0</v>
      </c>
      <c r="X73" s="17">
        <f>N("Netflix")-IF(DAY(A73)=Budget!$Q$7,Budget!$P$7,0)</f>
        <v>0</v>
      </c>
      <c r="Y73" s="17">
        <f>N("Spotify")-IF(DAY(A73)=Budget!$Q$8,Budget!$P$8,0)</f>
        <v>0</v>
      </c>
      <c r="Z73" s="17">
        <f>N("Truebill")-IF(DAY(A73)=Budget!$Q$9,Budget!$P$9,0)</f>
        <v>0</v>
      </c>
      <c r="AA73" s="6">
        <f t="shared" si="8"/>
        <v>-70</v>
      </c>
    </row>
    <row r="74" spans="1:30" x14ac:dyDescent="0.3">
      <c r="A74" s="4">
        <f t="shared" si="10"/>
        <v>45722</v>
      </c>
      <c r="B74" s="2">
        <f t="shared" si="9"/>
        <v>87.979999999999905</v>
      </c>
      <c r="C74" s="7">
        <f t="shared" si="11"/>
        <v>1</v>
      </c>
      <c r="D74" s="1">
        <v>0</v>
      </c>
      <c r="E74" s="17">
        <f>N("PAY-LM")+IF(WEEKDAY(A74)=Budget!$C$3,Budget!$B$3,0)</f>
        <v>0</v>
      </c>
      <c r="F74" s="17">
        <f>N("Rent")-IF(DAY(A74)=Budget!$G$3,Budget!$F$3,0)</f>
        <v>0</v>
      </c>
      <c r="G74" s="17">
        <f>N("Car")-IF(DAY(A74)=Budget!$G$4,Budget!$F$4+Budget!$H$4,0)</f>
        <v>0</v>
      </c>
      <c r="H74" s="17">
        <f>N("Mom Rent")-IF(DAY(A74)=Budget!$G$5,Budget!$F$5,0)</f>
        <v>0</v>
      </c>
      <c r="I74" s="17">
        <f>N("AT&amp;T")-IF(DAY(A74)=Budget!$G$8,Budget!$F$8,0)</f>
        <v>0</v>
      </c>
      <c r="J74" s="17">
        <f>N("GA Power")-IF(DAY(A74)=Budget!$G$9,Budget!$F$9,0)</f>
        <v>0</v>
      </c>
      <c r="K74" s="17">
        <f>N("Haircut")-IF(DAY(A74)=Budget!$G$10,Budget!$F$10,0)</f>
        <v>0</v>
      </c>
      <c r="L74" s="17">
        <f>N("Groceries")-IF(DAY(A74)=Budget!$G$6,Budget!$F$6,0)</f>
        <v>0</v>
      </c>
      <c r="M74" s="17">
        <f>N("Savings")-IF(DAY(A74)=Budget!$G$7,Budget!$F$7,0)</f>
        <v>0</v>
      </c>
      <c r="N74" s="17">
        <f>N("Car Insurance")-COUNTIF(Budget!$G$14, A74)*Budget!$F$14</f>
        <v>0</v>
      </c>
      <c r="O74" s="17">
        <f>N("Phone Bill")-COUNTIF(Budget!$G$15, A74)*Budget!$F$15</f>
        <v>0</v>
      </c>
      <c r="Q74" s="17">
        <f>N("Spotify")-IF(AND(DAY($A74)=Budget!$M$3, MONTH($A74)=Budget!$L$3),Budget!$K$3,0)</f>
        <v>0</v>
      </c>
      <c r="R74" s="17">
        <f>N("Spotify")-IF(AND(DAY($A74)=Budget!$M$4, MONTH($A74)=Budget!$L$4),Budget!$K$4,0)</f>
        <v>0</v>
      </c>
      <c r="S74" s="17">
        <f>N("Spotify")-IF(AND(DAY($A74)=Budget!$M$5, MONTH($A74)=Budget!$L$5),Budget!$K$5,0)</f>
        <v>0</v>
      </c>
      <c r="T74" s="17">
        <f>N("Amazon Prime")-IF(DAY(A74)=Budget!$Q$3,Budget!$P$3,0)</f>
        <v>0</v>
      </c>
      <c r="U74" s="17">
        <f>N("Audible")-IF(DAY(A74)=Budget!$Q$12,Budget!$P$12,0)</f>
        <v>0</v>
      </c>
      <c r="V74" s="17">
        <f>N("Crunchyroll")-IF(DAY(A74)=Budget!$Q$5,Budget!$P$5,0)</f>
        <v>0</v>
      </c>
      <c r="W74" s="17">
        <f>N("HBO Max")-IF(DAY(A74)=Budget!$Q$6,Budget!$P$6,0)</f>
        <v>0</v>
      </c>
      <c r="X74" s="17">
        <f>N("Netflix")-IF(DAY(A74)=Budget!$Q$7,Budget!$P$7,0)</f>
        <v>0</v>
      </c>
      <c r="Y74" s="17">
        <f>N("Spotify")-IF(DAY(A74)=Budget!$Q$8,Budget!$P$8,0)</f>
        <v>0</v>
      </c>
      <c r="Z74" s="17">
        <f>N("Truebill")-IF(DAY(A74)=Budget!$Q$9,Budget!$P$9,0)</f>
        <v>0</v>
      </c>
      <c r="AA74" s="6">
        <f t="shared" si="8"/>
        <v>0</v>
      </c>
    </row>
    <row r="75" spans="1:30" x14ac:dyDescent="0.3">
      <c r="A75" s="4">
        <f t="shared" si="10"/>
        <v>45723</v>
      </c>
      <c r="B75" s="2">
        <f t="shared" si="9"/>
        <v>5791.98</v>
      </c>
      <c r="C75" s="7">
        <f t="shared" si="11"/>
        <v>2</v>
      </c>
      <c r="D75" s="1">
        <v>4251</v>
      </c>
      <c r="E75" s="17">
        <f>N("PAY-LM")+IF(WEEKDAY(A75)=Budget!$C$3,Budget!$B$3,0)</f>
        <v>1453</v>
      </c>
      <c r="F75" s="17">
        <f>N("Rent")-IF(DAY(A75)=Budget!$G$3,Budget!$F$3,0)</f>
        <v>0</v>
      </c>
      <c r="G75" s="17">
        <f>N("Car")-IF(DAY(A75)=Budget!$G$4,Budget!$F$4+Budget!$H$4,0)</f>
        <v>0</v>
      </c>
      <c r="H75" s="17">
        <f>N("Mom Rent")-IF(DAY(A75)=Budget!$G$5,Budget!$F$5,0)</f>
        <v>0</v>
      </c>
      <c r="I75" s="17">
        <f>N("AT&amp;T")-IF(DAY(A75)=Budget!$G$8,Budget!$F$8,0)</f>
        <v>0</v>
      </c>
      <c r="J75" s="17">
        <f>N("GA Power")-IF(DAY(A75)=Budget!$G$9,Budget!$F$9,0)</f>
        <v>0</v>
      </c>
      <c r="K75" s="17">
        <f>N("Haircut")-IF(DAY(A75)=Budget!$G$10,Budget!$F$10,0)</f>
        <v>0</v>
      </c>
      <c r="L75" s="17">
        <f>N("Groceries")-IF(DAY(A75)=Budget!$G$6,Budget!$F$6,0)</f>
        <v>0</v>
      </c>
      <c r="M75" s="17">
        <f>N("Savings")-IF(DAY(A75)=Budget!$G$7,Budget!$F$7,0)</f>
        <v>0</v>
      </c>
      <c r="N75" s="17">
        <f>N("Car Insurance")-COUNTIF(Budget!$G$14, A75)*Budget!$F$14</f>
        <v>0</v>
      </c>
      <c r="O75" s="17">
        <f>N("Phone Bill")-COUNTIF(Budget!$G$15, A75)*Budget!$F$15</f>
        <v>0</v>
      </c>
      <c r="Q75" s="17">
        <f>N("Spotify")-IF(AND(DAY($A75)=Budget!$M$3, MONTH($A75)=Budget!$L$3),Budget!$K$3,0)</f>
        <v>0</v>
      </c>
      <c r="R75" s="17">
        <f>N("Spotify")-IF(AND(DAY($A75)=Budget!$M$4, MONTH($A75)=Budget!$L$4),Budget!$K$4,0)</f>
        <v>0</v>
      </c>
      <c r="S75" s="17">
        <f>N("Spotify")-IF(AND(DAY($A75)=Budget!$M$5, MONTH($A75)=Budget!$L$5),Budget!$K$5,0)</f>
        <v>0</v>
      </c>
      <c r="T75" s="17">
        <f>N("Amazon Prime")-IF(DAY(A75)=Budget!$Q$3,Budget!$P$3,0)</f>
        <v>0</v>
      </c>
      <c r="U75" s="17">
        <f>N("Audible")-IF(DAY(A75)=Budget!$Q$12,Budget!$P$12,0)</f>
        <v>0</v>
      </c>
      <c r="V75" s="17">
        <f>N("Crunchyroll")-IF(DAY(A75)=Budget!$Q$5,Budget!$P$5,0)</f>
        <v>0</v>
      </c>
      <c r="W75" s="17">
        <f>N("HBO Max")-IF(DAY(A75)=Budget!$Q$6,Budget!$P$6,0)</f>
        <v>0</v>
      </c>
      <c r="X75" s="17">
        <f>N("Netflix")-IF(DAY(A75)=Budget!$Q$7,Budget!$P$7,0)</f>
        <v>0</v>
      </c>
      <c r="Y75" s="17">
        <f>N("Spotify")-IF(DAY(A75)=Budget!$Q$8,Budget!$P$8,0)</f>
        <v>0</v>
      </c>
      <c r="Z75" s="17">
        <f>N("Truebill")-IF(DAY(A75)=Budget!$Q$9,Budget!$P$9,0)</f>
        <v>0</v>
      </c>
      <c r="AA75" s="6">
        <f t="shared" si="8"/>
        <v>5704</v>
      </c>
    </row>
    <row r="76" spans="1:30" x14ac:dyDescent="0.3">
      <c r="A76" s="4">
        <f t="shared" si="10"/>
        <v>45724</v>
      </c>
      <c r="B76" s="2">
        <f t="shared" si="9"/>
        <v>5772.5099999999993</v>
      </c>
      <c r="C76" s="7">
        <f t="shared" si="11"/>
        <v>0</v>
      </c>
      <c r="D76" s="1">
        <v>0</v>
      </c>
      <c r="E76" s="17">
        <f>N("PAY-LM")+IF(WEEKDAY(A76)=Budget!$C$3,Budget!$B$3,0)</f>
        <v>0</v>
      </c>
      <c r="F76" s="17">
        <f>N("Rent")-IF(DAY(A76)=Budget!$G$3,Budget!$F$3,0)</f>
        <v>0</v>
      </c>
      <c r="G76" s="17">
        <f>N("Car")-IF(DAY(A76)=Budget!$G$4,Budget!$F$4+Budget!$H$4,0)</f>
        <v>0</v>
      </c>
      <c r="H76" s="17">
        <f>N("Mom Rent")-IF(DAY(A76)=Budget!$G$5,Budget!$F$5,0)</f>
        <v>0</v>
      </c>
      <c r="I76" s="17">
        <f>N("AT&amp;T")-IF(DAY(A76)=Budget!$G$8,Budget!$F$8,0)</f>
        <v>0</v>
      </c>
      <c r="J76" s="17">
        <f>N("GA Power")-IF(DAY(A76)=Budget!$G$9,Budget!$F$9,0)</f>
        <v>0</v>
      </c>
      <c r="K76" s="17">
        <f>N("Haircut")-IF(DAY(A76)=Budget!$G$10,Budget!$F$10,0)</f>
        <v>0</v>
      </c>
      <c r="L76" s="17">
        <f>N("Groceries")-IF(DAY(A76)=Budget!$G$6,Budget!$F$6,0)</f>
        <v>0</v>
      </c>
      <c r="M76" s="17">
        <f>N("Savings")-IF(DAY(A76)=Budget!$G$7,Budget!$F$7,0)</f>
        <v>0</v>
      </c>
      <c r="N76" s="17">
        <f>N("Car Insurance")-COUNTIF(Budget!$G$14, A76)*Budget!$F$14</f>
        <v>0</v>
      </c>
      <c r="O76" s="17">
        <f>N("Phone Bill")-COUNTIF(Budget!$G$15, A76)*Budget!$F$15</f>
        <v>0</v>
      </c>
      <c r="Q76" s="17">
        <f>N("Spotify")-IF(AND(DAY($A76)=Budget!$M$3, MONTH($A76)=Budget!$L$3),Budget!$K$3,0)</f>
        <v>0</v>
      </c>
      <c r="R76" s="17">
        <f>N("Spotify")-IF(AND(DAY($A76)=Budget!$M$4, MONTH($A76)=Budget!$L$4),Budget!$K$4,0)</f>
        <v>0</v>
      </c>
      <c r="S76" s="17">
        <f>N("Spotify")-IF(AND(DAY($A76)=Budget!$M$5, MONTH($A76)=Budget!$L$5),Budget!$K$5,0)</f>
        <v>0</v>
      </c>
      <c r="T76" s="17">
        <f>N("Amazon Prime")-IF(DAY(A76)=Budget!$Q$3,Budget!$P$3,0)</f>
        <v>-7.48</v>
      </c>
      <c r="U76" s="17">
        <f>N("Audible")-IF(DAY(A76)=Budget!$Q$12,Budget!$P$12,0)</f>
        <v>0</v>
      </c>
      <c r="V76" s="17">
        <f>N("Crunchyroll")-IF(DAY(A76)=Budget!$Q$5,Budget!$P$5,0)</f>
        <v>0</v>
      </c>
      <c r="W76" s="17">
        <f>N("HBO Max")-IF(DAY(A76)=Budget!$Q$6,Budget!$P$6,0)</f>
        <v>-11.99</v>
      </c>
      <c r="X76" s="17">
        <f>N("Netflix")-IF(DAY(A76)=Budget!$Q$7,Budget!$P$7,0)</f>
        <v>0</v>
      </c>
      <c r="Y76" s="17">
        <f>N("Spotify")-IF(DAY(A76)=Budget!$Q$8,Budget!$P$8,0)</f>
        <v>0</v>
      </c>
      <c r="Z76" s="17">
        <f>N("Truebill")-IF(DAY(A76)=Budget!$Q$9,Budget!$P$9,0)</f>
        <v>0</v>
      </c>
      <c r="AA76" s="6">
        <f t="shared" si="8"/>
        <v>-19.47</v>
      </c>
    </row>
    <row r="77" spans="1:30" x14ac:dyDescent="0.3">
      <c r="A77" s="4">
        <f t="shared" si="10"/>
        <v>45725</v>
      </c>
      <c r="B77" s="2">
        <f t="shared" si="9"/>
        <v>5772.5099999999993</v>
      </c>
      <c r="C77" s="7">
        <f t="shared" si="11"/>
        <v>1</v>
      </c>
      <c r="D77" s="1">
        <v>0</v>
      </c>
      <c r="E77" s="17">
        <f>N("PAY-LM")+IF(WEEKDAY(A77)=Budget!$C$3,Budget!$B$3,0)</f>
        <v>0</v>
      </c>
      <c r="F77" s="17">
        <f>N("Rent")-IF(DAY(A77)=Budget!$G$3,Budget!$F$3,0)</f>
        <v>0</v>
      </c>
      <c r="G77" s="17">
        <f>N("Car")-IF(DAY(A77)=Budget!$G$4,Budget!$F$4+Budget!$H$4,0)</f>
        <v>0</v>
      </c>
      <c r="H77" s="17">
        <f>N("Mom Rent")-IF(DAY(A77)=Budget!$G$5,Budget!$F$5,0)</f>
        <v>0</v>
      </c>
      <c r="I77" s="17">
        <f>N("AT&amp;T")-IF(DAY(A77)=Budget!$G$8,Budget!$F$8,0)</f>
        <v>0</v>
      </c>
      <c r="J77" s="17">
        <f>N("GA Power")-IF(DAY(A77)=Budget!$G$9,Budget!$F$9,0)</f>
        <v>0</v>
      </c>
      <c r="K77" s="17">
        <f>N("Haircut")-IF(DAY(A77)=Budget!$G$10,Budget!$F$10,0)</f>
        <v>0</v>
      </c>
      <c r="L77" s="17">
        <f>N("Groceries")-IF(DAY(A77)=Budget!$G$6,Budget!$F$6,0)</f>
        <v>0</v>
      </c>
      <c r="M77" s="17">
        <f>N("Savings")-IF(DAY(A77)=Budget!$G$7,Budget!$F$7,0)</f>
        <v>0</v>
      </c>
      <c r="N77" s="17">
        <f>N("Car Insurance")-COUNTIF(Budget!$G$14, A77)*Budget!$F$14</f>
        <v>0</v>
      </c>
      <c r="O77" s="17">
        <f>N("Phone Bill")-COUNTIF(Budget!$G$15, A77)*Budget!$F$15</f>
        <v>0</v>
      </c>
      <c r="Q77" s="17">
        <f>N("Spotify")-IF(AND(DAY($A77)=Budget!$M$3, MONTH($A77)=Budget!$L$3),Budget!$K$3,0)</f>
        <v>0</v>
      </c>
      <c r="R77" s="17">
        <f>N("Spotify")-IF(AND(DAY($A77)=Budget!$M$4, MONTH($A77)=Budget!$L$4),Budget!$K$4,0)</f>
        <v>0</v>
      </c>
      <c r="S77" s="17">
        <f>N("Spotify")-IF(AND(DAY($A77)=Budget!$M$5, MONTH($A77)=Budget!$L$5),Budget!$K$5,0)</f>
        <v>0</v>
      </c>
      <c r="T77" s="17">
        <f>N("Amazon Prime")-IF(DAY(A77)=Budget!$Q$3,Budget!$P$3,0)</f>
        <v>0</v>
      </c>
      <c r="U77" s="17">
        <f>N("Audible")-IF(DAY(A77)=Budget!$Q$12,Budget!$P$12,0)</f>
        <v>0</v>
      </c>
      <c r="V77" s="17">
        <f>N("Crunchyroll")-IF(DAY(A77)=Budget!$Q$5,Budget!$P$5,0)</f>
        <v>0</v>
      </c>
      <c r="W77" s="17">
        <f>N("HBO Max")-IF(DAY(A77)=Budget!$Q$6,Budget!$P$6,0)</f>
        <v>0</v>
      </c>
      <c r="X77" s="17">
        <f>N("Netflix")-IF(DAY(A77)=Budget!$Q$7,Budget!$P$7,0)</f>
        <v>0</v>
      </c>
      <c r="Y77" s="17">
        <f>N("Spotify")-IF(DAY(A77)=Budget!$Q$8,Budget!$P$8,0)</f>
        <v>0</v>
      </c>
      <c r="Z77" s="17">
        <f>N("Truebill")-IF(DAY(A77)=Budget!$Q$9,Budget!$P$9,0)</f>
        <v>0</v>
      </c>
      <c r="AA77" s="6">
        <f t="shared" si="8"/>
        <v>0</v>
      </c>
    </row>
    <row r="78" spans="1:30" x14ac:dyDescent="0.3">
      <c r="A78" s="4">
        <f t="shared" si="10"/>
        <v>45726</v>
      </c>
      <c r="B78" s="2">
        <f t="shared" si="9"/>
        <v>5772.5099999999993</v>
      </c>
      <c r="C78" s="7">
        <f t="shared" si="11"/>
        <v>1</v>
      </c>
      <c r="D78" s="1">
        <v>0</v>
      </c>
      <c r="E78" s="17">
        <f>N("PAY-LM")+IF(WEEKDAY(A78)=Budget!$C$3,Budget!$B$3,0)</f>
        <v>0</v>
      </c>
      <c r="F78" s="17">
        <f>N("Rent")-IF(DAY(A78)=Budget!$G$3,Budget!$F$3,0)</f>
        <v>0</v>
      </c>
      <c r="G78" s="17">
        <f>N("Car")-IF(DAY(A78)=Budget!$G$4,Budget!$F$4+Budget!$H$4,0)</f>
        <v>0</v>
      </c>
      <c r="H78" s="17">
        <f>N("Mom Rent")-IF(DAY(A78)=Budget!$G$5,Budget!$F$5,0)</f>
        <v>0</v>
      </c>
      <c r="I78" s="17">
        <f>N("AT&amp;T")-IF(DAY(A78)=Budget!$G$8,Budget!$F$8,0)</f>
        <v>0</v>
      </c>
      <c r="J78" s="17">
        <f>N("GA Power")-IF(DAY(A78)=Budget!$G$9,Budget!$F$9,0)</f>
        <v>0</v>
      </c>
      <c r="K78" s="17">
        <f>N("Haircut")-IF(DAY(A78)=Budget!$G$10,Budget!$F$10,0)</f>
        <v>0</v>
      </c>
      <c r="L78" s="17">
        <f>N("Groceries")-IF(DAY(A78)=Budget!$G$6,Budget!$F$6,0)</f>
        <v>0</v>
      </c>
      <c r="M78" s="17">
        <f>N("Savings")-IF(DAY(A78)=Budget!$G$7,Budget!$F$7,0)</f>
        <v>0</v>
      </c>
      <c r="N78" s="17">
        <f>N("Car Insurance")-COUNTIF(Budget!$G$14, A78)*Budget!$F$14</f>
        <v>0</v>
      </c>
      <c r="O78" s="17">
        <f>N("Phone Bill")-COUNTIF(Budget!$G$15, A78)*Budget!$F$15</f>
        <v>0</v>
      </c>
      <c r="Q78" s="17">
        <f>N("Spotify")-IF(AND(DAY($A78)=Budget!$M$3, MONTH($A78)=Budget!$L$3),Budget!$K$3,0)</f>
        <v>0</v>
      </c>
      <c r="R78" s="17">
        <f>N("Spotify")-IF(AND(DAY($A78)=Budget!$M$4, MONTH($A78)=Budget!$L$4),Budget!$K$4,0)</f>
        <v>0</v>
      </c>
      <c r="S78" s="17">
        <f>N("Spotify")-IF(AND(DAY($A78)=Budget!$M$5, MONTH($A78)=Budget!$L$5),Budget!$K$5,0)</f>
        <v>0</v>
      </c>
      <c r="T78" s="17">
        <f>N("Amazon Prime")-IF(DAY(A78)=Budget!$Q$3,Budget!$P$3,0)</f>
        <v>0</v>
      </c>
      <c r="U78" s="17">
        <f>N("Audible")-IF(DAY(A78)=Budget!$Q$12,Budget!$P$12,0)</f>
        <v>0</v>
      </c>
      <c r="V78" s="17">
        <f>N("Crunchyroll")-IF(DAY(A78)=Budget!$Q$5,Budget!$P$5,0)</f>
        <v>0</v>
      </c>
      <c r="W78" s="17">
        <f>N("HBO Max")-IF(DAY(A78)=Budget!$Q$6,Budget!$P$6,0)</f>
        <v>0</v>
      </c>
      <c r="X78" s="17">
        <f>N("Netflix")-IF(DAY(A78)=Budget!$Q$7,Budget!$P$7,0)</f>
        <v>0</v>
      </c>
      <c r="Y78" s="17">
        <f>N("Spotify")-IF(DAY(A78)=Budget!$Q$8,Budget!$P$8,0)</f>
        <v>0</v>
      </c>
      <c r="Z78" s="17">
        <f>N("Truebill")-IF(DAY(A78)=Budget!$Q$9,Budget!$P$9,0)</f>
        <v>0</v>
      </c>
      <c r="AA78" s="6">
        <f t="shared" si="8"/>
        <v>0</v>
      </c>
    </row>
    <row r="79" spans="1:30" x14ac:dyDescent="0.3">
      <c r="A79" s="4">
        <f t="shared" si="10"/>
        <v>45727</v>
      </c>
      <c r="B79" s="2">
        <f t="shared" si="9"/>
        <v>5772.5099999999993</v>
      </c>
      <c r="C79" s="7">
        <f t="shared" si="11"/>
        <v>1</v>
      </c>
      <c r="D79" s="1">
        <v>0</v>
      </c>
      <c r="E79" s="17">
        <f>N("PAY-LM")+IF(WEEKDAY(A79)=Budget!$C$3,Budget!$B$3,0)</f>
        <v>0</v>
      </c>
      <c r="F79" s="17">
        <f>N("Rent")-IF(DAY(A79)=Budget!$G$3,Budget!$F$3,0)</f>
        <v>0</v>
      </c>
      <c r="G79" s="17">
        <f>N("Car")-IF(DAY(A79)=Budget!$G$4,Budget!$F$4+Budget!$H$4,0)</f>
        <v>0</v>
      </c>
      <c r="H79" s="17">
        <f>N("Mom Rent")-IF(DAY(A79)=Budget!$G$5,Budget!$F$5,0)</f>
        <v>0</v>
      </c>
      <c r="I79" s="17">
        <f>N("AT&amp;T")-IF(DAY(A79)=Budget!$G$8,Budget!$F$8,0)</f>
        <v>0</v>
      </c>
      <c r="J79" s="17">
        <f>N("GA Power")-IF(DAY(A79)=Budget!$G$9,Budget!$F$9,0)</f>
        <v>0</v>
      </c>
      <c r="K79" s="17">
        <f>N("Haircut")-IF(DAY(A79)=Budget!$G$10,Budget!$F$10,0)</f>
        <v>0</v>
      </c>
      <c r="L79" s="17">
        <f>N("Groceries")-IF(DAY(A79)=Budget!$G$6,Budget!$F$6,0)</f>
        <v>0</v>
      </c>
      <c r="M79" s="17">
        <f>N("Savings")-IF(DAY(A79)=Budget!$G$7,Budget!$F$7,0)</f>
        <v>0</v>
      </c>
      <c r="N79" s="17">
        <f>N("Car Insurance")-COUNTIF(Budget!$G$14, A79)*Budget!$F$14</f>
        <v>0</v>
      </c>
      <c r="O79" s="17">
        <f>N("Phone Bill")-COUNTIF(Budget!$G$15, A79)*Budget!$F$15</f>
        <v>0</v>
      </c>
      <c r="Q79" s="17">
        <f>N("Spotify")-IF(AND(DAY($A79)=Budget!$M$3, MONTH($A79)=Budget!$L$3),Budget!$K$3,0)</f>
        <v>0</v>
      </c>
      <c r="R79" s="17">
        <f>N("Spotify")-IF(AND(DAY($A79)=Budget!$M$4, MONTH($A79)=Budget!$L$4),Budget!$K$4,0)</f>
        <v>0</v>
      </c>
      <c r="S79" s="17">
        <f>N("Spotify")-IF(AND(DAY($A79)=Budget!$M$5, MONTH($A79)=Budget!$L$5),Budget!$K$5,0)</f>
        <v>0</v>
      </c>
      <c r="T79" s="17">
        <f>N("Amazon Prime")-IF(DAY(A79)=Budget!$Q$3,Budget!$P$3,0)</f>
        <v>0</v>
      </c>
      <c r="U79" s="17">
        <f>N("Audible")-IF(DAY(A79)=Budget!$Q$12,Budget!$P$12,0)</f>
        <v>0</v>
      </c>
      <c r="V79" s="17">
        <f>N("Crunchyroll")-IF(DAY(A79)=Budget!$Q$5,Budget!$P$5,0)</f>
        <v>0</v>
      </c>
      <c r="W79" s="17">
        <f>N("HBO Max")-IF(DAY(A79)=Budget!$Q$6,Budget!$P$6,0)</f>
        <v>0</v>
      </c>
      <c r="X79" s="17">
        <f>N("Netflix")-IF(DAY(A79)=Budget!$Q$7,Budget!$P$7,0)</f>
        <v>0</v>
      </c>
      <c r="Y79" s="17">
        <f>N("Spotify")-IF(DAY(A79)=Budget!$Q$8,Budget!$P$8,0)</f>
        <v>0</v>
      </c>
      <c r="Z79" s="17">
        <f>N("Truebill")-IF(DAY(A79)=Budget!$Q$9,Budget!$P$9,0)</f>
        <v>0</v>
      </c>
      <c r="AA79" s="6">
        <f t="shared" si="8"/>
        <v>0</v>
      </c>
    </row>
    <row r="80" spans="1:30" x14ac:dyDescent="0.3">
      <c r="A80" s="4">
        <f t="shared" si="10"/>
        <v>45728</v>
      </c>
      <c r="B80" s="2">
        <f t="shared" si="9"/>
        <v>5766.5099999999993</v>
      </c>
      <c r="C80" s="7">
        <f t="shared" si="11"/>
        <v>0</v>
      </c>
      <c r="D80" s="1">
        <v>0</v>
      </c>
      <c r="E80" s="17">
        <f>N("PAY-LM")+IF(WEEKDAY(A80)=Budget!$C$3,Budget!$B$3,0)</f>
        <v>0</v>
      </c>
      <c r="F80" s="17">
        <f>N("Rent")-IF(DAY(A80)=Budget!$G$3,Budget!$F$3,0)</f>
        <v>0</v>
      </c>
      <c r="G80" s="17">
        <f>N("Car")-IF(DAY(A80)=Budget!$G$4,Budget!$F$4+Budget!$H$4,0)</f>
        <v>0</v>
      </c>
      <c r="H80" s="17">
        <f>N("Mom Rent")-IF(DAY(A80)=Budget!$G$5,Budget!$F$5,0)</f>
        <v>0</v>
      </c>
      <c r="I80" s="17">
        <f>N("AT&amp;T")-IF(DAY(A80)=Budget!$G$8,Budget!$F$8,0)</f>
        <v>0</v>
      </c>
      <c r="J80" s="17">
        <f>N("GA Power")-IF(DAY(A80)=Budget!$G$9,Budget!$F$9,0)</f>
        <v>0</v>
      </c>
      <c r="K80" s="17">
        <f>N("Haircut")-IF(DAY(A80)=Budget!$G$10,Budget!$F$10,0)</f>
        <v>0</v>
      </c>
      <c r="L80" s="17">
        <f>N("Groceries")-IF(DAY(A80)=Budget!$G$6,Budget!$F$6,0)</f>
        <v>0</v>
      </c>
      <c r="M80" s="17">
        <f>N("Savings")-IF(DAY(A80)=Budget!$G$7,Budget!$F$7,0)</f>
        <v>0</v>
      </c>
      <c r="N80" s="17">
        <f>N("Car Insurance")-COUNTIF(Budget!$G$14, A80)*Budget!$F$14</f>
        <v>0</v>
      </c>
      <c r="O80" s="17">
        <f>N("Phone Bill")-COUNTIF(Budget!$G$15, A80)*Budget!$F$15</f>
        <v>0</v>
      </c>
      <c r="Q80" s="17">
        <f>N("Spotify")-IF(AND(DAY($A80)=Budget!$M$3, MONTH($A80)=Budget!$L$3),Budget!$K$3,0)</f>
        <v>0</v>
      </c>
      <c r="R80" s="17">
        <f>N("Spotify")-IF(AND(DAY($A80)=Budget!$M$4, MONTH($A80)=Budget!$L$4),Budget!$K$4,0)</f>
        <v>0</v>
      </c>
      <c r="S80" s="17">
        <f>N("Spotify")-IF(AND(DAY($A80)=Budget!$M$5, MONTH($A80)=Budget!$L$5),Budget!$K$5,0)</f>
        <v>0</v>
      </c>
      <c r="T80" s="17">
        <f>N("Amazon Prime")-IF(DAY(A80)=Budget!$Q$3,Budget!$P$3,0)</f>
        <v>0</v>
      </c>
      <c r="U80" s="17">
        <f>N("Audible")-IF(DAY(A80)=Budget!$Q$12,Budget!$P$12,0)</f>
        <v>0</v>
      </c>
      <c r="V80" s="17">
        <f>N("Crunchyroll")-IF(DAY(A80)=Budget!$Q$5,Budget!$P$5,0)</f>
        <v>0</v>
      </c>
      <c r="W80" s="17">
        <f>N("HBO Max")-IF(DAY(A80)=Budget!$Q$6,Budget!$P$6,0)</f>
        <v>0</v>
      </c>
      <c r="X80" s="17">
        <f>N("Netflix")-IF(DAY(A80)=Budget!$Q$7,Budget!$P$7,0)</f>
        <v>-6</v>
      </c>
      <c r="Y80" s="17">
        <f>N("Spotify")-IF(DAY(A80)=Budget!$Q$8,Budget!$P$8,0)</f>
        <v>0</v>
      </c>
      <c r="Z80" s="17">
        <f>N("Truebill")-IF(DAY(A80)=Budget!$Q$9,Budget!$P$9,0)</f>
        <v>0</v>
      </c>
      <c r="AA80" s="6">
        <f t="shared" si="8"/>
        <v>-6</v>
      </c>
    </row>
    <row r="81" spans="1:27" x14ac:dyDescent="0.3">
      <c r="A81" s="4">
        <f t="shared" si="10"/>
        <v>45729</v>
      </c>
      <c r="B81" s="2">
        <f t="shared" si="9"/>
        <v>5766.5099999999993</v>
      </c>
      <c r="C81" s="7">
        <f t="shared" si="11"/>
        <v>1</v>
      </c>
      <c r="D81" s="1">
        <v>0</v>
      </c>
      <c r="E81" s="17">
        <f>N("PAY-LM")+IF(WEEKDAY(A81)=Budget!$C$3,Budget!$B$3,0)</f>
        <v>0</v>
      </c>
      <c r="F81" s="17">
        <f>N("Rent")-IF(DAY(A81)=Budget!$G$3,Budget!$F$3,0)</f>
        <v>0</v>
      </c>
      <c r="G81" s="17">
        <f>N("Car")-IF(DAY(A81)=Budget!$G$4,Budget!$F$4+Budget!$H$4,0)</f>
        <v>0</v>
      </c>
      <c r="H81" s="17">
        <f>N("Mom Rent")-IF(DAY(A81)=Budget!$G$5,Budget!$F$5,0)</f>
        <v>0</v>
      </c>
      <c r="I81" s="17">
        <f>N("AT&amp;T")-IF(DAY(A81)=Budget!$G$8,Budget!$F$8,0)</f>
        <v>0</v>
      </c>
      <c r="J81" s="17">
        <f>N("GA Power")-IF(DAY(A81)=Budget!$G$9,Budget!$F$9,0)</f>
        <v>0</v>
      </c>
      <c r="K81" s="17">
        <f>N("Haircut")-IF(DAY(A81)=Budget!$G$10,Budget!$F$10,0)</f>
        <v>0</v>
      </c>
      <c r="L81" s="17">
        <f>N("Groceries")-IF(DAY(A81)=Budget!$G$6,Budget!$F$6,0)</f>
        <v>0</v>
      </c>
      <c r="M81" s="17">
        <f>N("Savings")-IF(DAY(A81)=Budget!$G$7,Budget!$F$7,0)</f>
        <v>0</v>
      </c>
      <c r="N81" s="17">
        <f>N("Car Insurance")-COUNTIF(Budget!$G$14, A81)*Budget!$F$14</f>
        <v>0</v>
      </c>
      <c r="O81" s="17">
        <f>N("Phone Bill")-COUNTIF(Budget!$G$15, A81)*Budget!$F$15</f>
        <v>0</v>
      </c>
      <c r="Q81" s="17">
        <f>N("Spotify")-IF(AND(DAY($A81)=Budget!$M$3, MONTH($A81)=Budget!$L$3),Budget!$K$3,0)</f>
        <v>0</v>
      </c>
      <c r="R81" s="17">
        <f>N("Spotify")-IF(AND(DAY($A81)=Budget!$M$4, MONTH($A81)=Budget!$L$4),Budget!$K$4,0)</f>
        <v>0</v>
      </c>
      <c r="S81" s="17">
        <f>N("Spotify")-IF(AND(DAY($A81)=Budget!$M$5, MONTH($A81)=Budget!$L$5),Budget!$K$5,0)</f>
        <v>0</v>
      </c>
      <c r="T81" s="17">
        <f>N("Amazon Prime")-IF(DAY(A81)=Budget!$Q$3,Budget!$P$3,0)</f>
        <v>0</v>
      </c>
      <c r="U81" s="17">
        <f>N("Audible")-IF(DAY(A81)=Budget!$Q$12,Budget!$P$12,0)</f>
        <v>0</v>
      </c>
      <c r="V81" s="17">
        <f>N("Crunchyroll")-IF(DAY(A81)=Budget!$Q$5,Budget!$P$5,0)</f>
        <v>0</v>
      </c>
      <c r="W81" s="17">
        <f>N("HBO Max")-IF(DAY(A81)=Budget!$Q$6,Budget!$P$6,0)</f>
        <v>0</v>
      </c>
      <c r="X81" s="17">
        <f>N("Netflix")-IF(DAY(A81)=Budget!$Q$7,Budget!$P$7,0)</f>
        <v>0</v>
      </c>
      <c r="Y81" s="17">
        <f>N("Spotify")-IF(DAY(A81)=Budget!$Q$8,Budget!$P$8,0)</f>
        <v>0</v>
      </c>
      <c r="Z81" s="17">
        <f>N("Truebill")-IF(DAY(A81)=Budget!$Q$9,Budget!$P$9,0)</f>
        <v>0</v>
      </c>
      <c r="AA81" s="6">
        <f t="shared" si="8"/>
        <v>0</v>
      </c>
    </row>
    <row r="82" spans="1:27" x14ac:dyDescent="0.3">
      <c r="A82" s="4">
        <f t="shared" si="10"/>
        <v>45730</v>
      </c>
      <c r="B82" s="2">
        <f t="shared" si="9"/>
        <v>7219.5099999999993</v>
      </c>
      <c r="C82" s="7">
        <f t="shared" si="11"/>
        <v>2</v>
      </c>
      <c r="D82" s="1">
        <v>0</v>
      </c>
      <c r="E82" s="17">
        <f>N("PAY-LM")+IF(WEEKDAY(A82)=Budget!$C$3,Budget!$B$3,0)</f>
        <v>1453</v>
      </c>
      <c r="F82" s="17">
        <f>N("Rent")-IF(DAY(A82)=Budget!$G$3,Budget!$F$3,0)</f>
        <v>0</v>
      </c>
      <c r="G82" s="17">
        <f>N("Car")-IF(DAY(A82)=Budget!$G$4,Budget!$F$4+Budget!$H$4,0)</f>
        <v>0</v>
      </c>
      <c r="H82" s="17">
        <f>N("Mom Rent")-IF(DAY(A82)=Budget!$G$5,Budget!$F$5,0)</f>
        <v>0</v>
      </c>
      <c r="I82" s="17">
        <f>N("AT&amp;T")-IF(DAY(A82)=Budget!$G$8,Budget!$F$8,0)</f>
        <v>0</v>
      </c>
      <c r="J82" s="17">
        <f>N("GA Power")-IF(DAY(A82)=Budget!$G$9,Budget!$F$9,0)</f>
        <v>0</v>
      </c>
      <c r="K82" s="17">
        <f>N("Haircut")-IF(DAY(A82)=Budget!$G$10,Budget!$F$10,0)</f>
        <v>0</v>
      </c>
      <c r="L82" s="17">
        <f>N("Groceries")-IF(DAY(A82)=Budget!$G$6,Budget!$F$6,0)</f>
        <v>0</v>
      </c>
      <c r="M82" s="17">
        <f>N("Savings")-IF(DAY(A82)=Budget!$G$7,Budget!$F$7,0)</f>
        <v>0</v>
      </c>
      <c r="N82" s="17">
        <f>N("Car Insurance")-COUNTIF(Budget!$G$14, A82)*Budget!$F$14</f>
        <v>0</v>
      </c>
      <c r="O82" s="17">
        <f>N("Phone Bill")-COUNTIF(Budget!$G$15, A82)*Budget!$F$15</f>
        <v>0</v>
      </c>
      <c r="Q82" s="17">
        <f>N("Spotify")-IF(AND(DAY($A82)=Budget!$M$3, MONTH($A82)=Budget!$L$3),Budget!$K$3,0)</f>
        <v>0</v>
      </c>
      <c r="R82" s="17">
        <f>N("Spotify")-IF(AND(DAY($A82)=Budget!$M$4, MONTH($A82)=Budget!$L$4),Budget!$K$4,0)</f>
        <v>0</v>
      </c>
      <c r="S82" s="17">
        <f>N("Spotify")-IF(AND(DAY($A82)=Budget!$M$5, MONTH($A82)=Budget!$L$5),Budget!$K$5,0)</f>
        <v>0</v>
      </c>
      <c r="T82" s="17">
        <f>N("Amazon Prime")-IF(DAY(A82)=Budget!$Q$3,Budget!$P$3,0)</f>
        <v>0</v>
      </c>
      <c r="U82" s="17">
        <f>N("Audible")-IF(DAY(A82)=Budget!$Q$12,Budget!$P$12,0)</f>
        <v>0</v>
      </c>
      <c r="V82" s="17">
        <f>N("Crunchyroll")-IF(DAY(A82)=Budget!$Q$5,Budget!$P$5,0)</f>
        <v>0</v>
      </c>
      <c r="W82" s="17">
        <f>N("HBO Max")-IF(DAY(A82)=Budget!$Q$6,Budget!$P$6,0)</f>
        <v>0</v>
      </c>
      <c r="X82" s="17">
        <f>N("Netflix")-IF(DAY(A82)=Budget!$Q$7,Budget!$P$7,0)</f>
        <v>0</v>
      </c>
      <c r="Y82" s="17">
        <f>N("Spotify")-IF(DAY(A82)=Budget!$Q$8,Budget!$P$8,0)</f>
        <v>0</v>
      </c>
      <c r="Z82" s="17">
        <f>N("Truebill")-IF(DAY(A82)=Budget!$Q$9,Budget!$P$9,0)</f>
        <v>0</v>
      </c>
      <c r="AA82" s="6">
        <f t="shared" si="8"/>
        <v>1453</v>
      </c>
    </row>
    <row r="83" spans="1:27" x14ac:dyDescent="0.3">
      <c r="A83" s="4">
        <f t="shared" si="10"/>
        <v>45731</v>
      </c>
      <c r="B83" s="2">
        <f t="shared" si="9"/>
        <v>7219.5099999999993</v>
      </c>
      <c r="C83" s="7">
        <f t="shared" si="11"/>
        <v>1</v>
      </c>
      <c r="D83" s="1">
        <v>0</v>
      </c>
      <c r="E83" s="17">
        <f>N("PAY-LM")+IF(WEEKDAY(A83)=Budget!$C$3,Budget!$B$3,0)</f>
        <v>0</v>
      </c>
      <c r="F83" s="17">
        <f>N("Rent")-IF(DAY(A83)=Budget!$G$3,Budget!$F$3,0)</f>
        <v>0</v>
      </c>
      <c r="G83" s="17">
        <f>N("Car")-IF(DAY(A83)=Budget!$G$4,Budget!$F$4+Budget!$H$4,0)</f>
        <v>0</v>
      </c>
      <c r="H83" s="17">
        <f>N("Mom Rent")-IF(DAY(A83)=Budget!$G$5,Budget!$F$5,0)</f>
        <v>0</v>
      </c>
      <c r="I83" s="17">
        <f>N("AT&amp;T")-IF(DAY(A83)=Budget!$G$8,Budget!$F$8,0)</f>
        <v>0</v>
      </c>
      <c r="J83" s="17">
        <f>N("GA Power")-IF(DAY(A83)=Budget!$G$9,Budget!$F$9,0)</f>
        <v>0</v>
      </c>
      <c r="K83" s="17">
        <f>N("Haircut")-IF(DAY(A83)=Budget!$G$10,Budget!$F$10,0)</f>
        <v>0</v>
      </c>
      <c r="L83" s="17">
        <f>N("Groceries")-IF(DAY(A83)=Budget!$G$6,Budget!$F$6,0)</f>
        <v>0</v>
      </c>
      <c r="M83" s="17">
        <f>N("Savings")-IF(DAY(A83)=Budget!$G$7,Budget!$F$7,0)</f>
        <v>0</v>
      </c>
      <c r="N83" s="17">
        <f>N("Car Insurance")-COUNTIF(Budget!$G$14, A83)*Budget!$F$14</f>
        <v>0</v>
      </c>
      <c r="O83" s="17">
        <f>N("Phone Bill")-COUNTIF(Budget!$G$15, A83)*Budget!$F$15</f>
        <v>0</v>
      </c>
      <c r="Q83" s="17">
        <f>N("Spotify")-IF(AND(DAY($A83)=Budget!$M$3, MONTH($A83)=Budget!$L$3),Budget!$K$3,0)</f>
        <v>0</v>
      </c>
      <c r="R83" s="17">
        <f>N("Spotify")-IF(AND(DAY($A83)=Budget!$M$4, MONTH($A83)=Budget!$L$4),Budget!$K$4,0)</f>
        <v>0</v>
      </c>
      <c r="S83" s="17">
        <f>N("Spotify")-IF(AND(DAY($A83)=Budget!$M$5, MONTH($A83)=Budget!$L$5),Budget!$K$5,0)</f>
        <v>0</v>
      </c>
      <c r="T83" s="17">
        <f>N("Amazon Prime")-IF(DAY(A83)=Budget!$Q$3,Budget!$P$3,0)</f>
        <v>0</v>
      </c>
      <c r="U83" s="17">
        <f>N("Audible")-IF(DAY(A83)=Budget!$Q$12,Budget!$P$12,0)</f>
        <v>0</v>
      </c>
      <c r="V83" s="17">
        <f>N("Crunchyroll")-IF(DAY(A83)=Budget!$Q$5,Budget!$P$5,0)</f>
        <v>0</v>
      </c>
      <c r="W83" s="17">
        <f>N("HBO Max")-IF(DAY(A83)=Budget!$Q$6,Budget!$P$6,0)</f>
        <v>0</v>
      </c>
      <c r="X83" s="17">
        <f>N("Netflix")-IF(DAY(A83)=Budget!$Q$7,Budget!$P$7,0)</f>
        <v>0</v>
      </c>
      <c r="Y83" s="17">
        <f>N("Spotify")-IF(DAY(A83)=Budget!$Q$8,Budget!$P$8,0)</f>
        <v>0</v>
      </c>
      <c r="Z83" s="17">
        <f>N("Truebill")-IF(DAY(A83)=Budget!$Q$9,Budget!$P$9,0)</f>
        <v>0</v>
      </c>
      <c r="AA83" s="6">
        <f t="shared" si="8"/>
        <v>0</v>
      </c>
    </row>
    <row r="84" spans="1:27" x14ac:dyDescent="0.3">
      <c r="A84" s="4">
        <f t="shared" si="10"/>
        <v>45732</v>
      </c>
      <c r="B84" s="2">
        <f t="shared" si="9"/>
        <v>7219.5099999999993</v>
      </c>
      <c r="C84" s="7">
        <f t="shared" si="11"/>
        <v>1</v>
      </c>
      <c r="D84" s="1">
        <v>0</v>
      </c>
      <c r="E84" s="17">
        <f>N("PAY-LM")+IF(WEEKDAY(A84)=Budget!$C$3,Budget!$B$3,0)</f>
        <v>0</v>
      </c>
      <c r="F84" s="17">
        <f>N("Rent")-IF(DAY(A84)=Budget!$G$3,Budget!$F$3,0)</f>
        <v>0</v>
      </c>
      <c r="G84" s="17">
        <f>N("Car")-IF(DAY(A84)=Budget!$G$4,Budget!$F$4+Budget!$H$4,0)</f>
        <v>0</v>
      </c>
      <c r="H84" s="17">
        <f>N("Mom Rent")-IF(DAY(A84)=Budget!$G$5,Budget!$F$5,0)</f>
        <v>0</v>
      </c>
      <c r="I84" s="17">
        <f>N("AT&amp;T")-IF(DAY(A84)=Budget!$G$8,Budget!$F$8,0)</f>
        <v>0</v>
      </c>
      <c r="J84" s="17">
        <f>N("GA Power")-IF(DAY(A84)=Budget!$G$9,Budget!$F$9,0)</f>
        <v>0</v>
      </c>
      <c r="K84" s="17">
        <f>N("Haircut")-IF(DAY(A84)=Budget!$G$10,Budget!$F$10,0)</f>
        <v>0</v>
      </c>
      <c r="L84" s="17">
        <f>N("Groceries")-IF(DAY(A84)=Budget!$G$6,Budget!$F$6,0)</f>
        <v>0</v>
      </c>
      <c r="M84" s="17">
        <f>N("Savings")-IF(DAY(A84)=Budget!$G$7,Budget!$F$7,0)</f>
        <v>0</v>
      </c>
      <c r="N84" s="17">
        <f>N("Car Insurance")-COUNTIF(Budget!$G$14, A84)*Budget!$F$14</f>
        <v>0</v>
      </c>
      <c r="O84" s="17">
        <f>N("Phone Bill")-COUNTIF(Budget!$G$15, A84)*Budget!$F$15</f>
        <v>0</v>
      </c>
      <c r="Q84" s="17">
        <f>N("Spotify")-IF(AND(DAY($A84)=Budget!$M$3, MONTH($A84)=Budget!$L$3),Budget!$K$3,0)</f>
        <v>0</v>
      </c>
      <c r="R84" s="17">
        <f>N("Spotify")-IF(AND(DAY($A84)=Budget!$M$4, MONTH($A84)=Budget!$L$4),Budget!$K$4,0)</f>
        <v>0</v>
      </c>
      <c r="S84" s="17">
        <f>N("Spotify")-IF(AND(DAY($A84)=Budget!$M$5, MONTH($A84)=Budget!$L$5),Budget!$K$5,0)</f>
        <v>0</v>
      </c>
      <c r="T84" s="17">
        <f>N("Amazon Prime")-IF(DAY(A84)=Budget!$Q$3,Budget!$P$3,0)</f>
        <v>0</v>
      </c>
      <c r="U84" s="17">
        <f>N("Audible")-IF(DAY(A84)=Budget!$Q$12,Budget!$P$12,0)</f>
        <v>0</v>
      </c>
      <c r="V84" s="17">
        <f>N("Crunchyroll")-IF(DAY(A84)=Budget!$Q$5,Budget!$P$5,0)</f>
        <v>0</v>
      </c>
      <c r="W84" s="17">
        <f>N("HBO Max")-IF(DAY(A84)=Budget!$Q$6,Budget!$P$6,0)</f>
        <v>0</v>
      </c>
      <c r="X84" s="17">
        <f>N("Netflix")-IF(DAY(A84)=Budget!$Q$7,Budget!$P$7,0)</f>
        <v>0</v>
      </c>
      <c r="Y84" s="17">
        <f>N("Spotify")-IF(DAY(A84)=Budget!$Q$8,Budget!$P$8,0)</f>
        <v>0</v>
      </c>
      <c r="Z84" s="17">
        <f>N("Truebill")-IF(DAY(A84)=Budget!$Q$9,Budget!$P$9,0)</f>
        <v>0</v>
      </c>
      <c r="AA84" s="6">
        <f t="shared" si="8"/>
        <v>0</v>
      </c>
    </row>
    <row r="85" spans="1:27" x14ac:dyDescent="0.3">
      <c r="A85" s="4">
        <f t="shared" si="10"/>
        <v>45733</v>
      </c>
      <c r="B85" s="2">
        <v>4347</v>
      </c>
      <c r="C85" s="7">
        <f t="shared" si="11"/>
        <v>0</v>
      </c>
      <c r="D85" s="1">
        <v>0</v>
      </c>
      <c r="E85" s="17">
        <f>N("PAY-LM")+IF(WEEKDAY(A85)=Budget!$C$3,Budget!$B$3,0)</f>
        <v>0</v>
      </c>
      <c r="F85" s="17">
        <f>N("Rent")-IF(DAY(A85)=Budget!$G$3,Budget!$F$3,0)</f>
        <v>0</v>
      </c>
      <c r="G85" s="17">
        <f>N("Car")-IF(DAY(A85)=Budget!$G$4,Budget!$F$4+Budget!$H$4,0)</f>
        <v>0</v>
      </c>
      <c r="H85" s="17">
        <f>N("Mom Rent")-IF(DAY(A85)=Budget!$G$5,Budget!$F$5,0)</f>
        <v>0</v>
      </c>
      <c r="I85" s="17">
        <f>N("AT&amp;T")-IF(DAY(A85)=Budget!$G$8,Budget!$F$8,0)</f>
        <v>0</v>
      </c>
      <c r="J85" s="17">
        <f>N("GA Power")-IF(DAY(A85)=Budget!$G$9,Budget!$F$9,0)</f>
        <v>0</v>
      </c>
      <c r="K85" s="17">
        <f>N("Haircut")-IF(DAY(A85)=Budget!$G$10,Budget!$F$10,0)</f>
        <v>0</v>
      </c>
      <c r="L85" s="17">
        <f>N("Groceries")-IF(DAY(A85)=Budget!$G$6,Budget!$F$6,0)</f>
        <v>0</v>
      </c>
      <c r="M85" s="17">
        <f>N("Savings")-IF(DAY(A85)=Budget!$G$7,Budget!$F$7,0)</f>
        <v>0</v>
      </c>
      <c r="N85" s="17">
        <f>N("Car Insurance")-COUNTIF(Budget!$G$14, A85)*Budget!$F$14</f>
        <v>0</v>
      </c>
      <c r="O85" s="17">
        <f>N("Phone Bill")-COUNTIF(Budget!$G$15, A85)*Budget!$F$15</f>
        <v>0</v>
      </c>
      <c r="Q85" s="17">
        <f>N("Spotify")-IF(AND(DAY($A85)=Budget!$M$3, MONTH($A85)=Budget!$L$3),Budget!$K$3,0)</f>
        <v>0</v>
      </c>
      <c r="R85" s="17">
        <f>N("Spotify")-IF(AND(DAY($A85)=Budget!$M$4, MONTH($A85)=Budget!$L$4),Budget!$K$4,0)</f>
        <v>0</v>
      </c>
      <c r="S85" s="17">
        <f>N("Spotify")-IF(AND(DAY($A85)=Budget!$M$5, MONTH($A85)=Budget!$L$5),Budget!$K$5,0)</f>
        <v>0</v>
      </c>
      <c r="T85" s="17">
        <f>N("Amazon Prime")-IF(DAY(A85)=Budget!$Q$3,Budget!$P$3,0)</f>
        <v>0</v>
      </c>
      <c r="U85" s="17">
        <f>N("Audible")-IF(DAY(A85)=Budget!$Q$12,Budget!$P$12,0)</f>
        <v>0</v>
      </c>
      <c r="V85" s="17">
        <f>N("Crunchyroll")-IF(DAY(A85)=Budget!$Q$5,Budget!$P$5,0)</f>
        <v>0</v>
      </c>
      <c r="W85" s="17">
        <f>N("HBO Max")-IF(DAY(A85)=Budget!$Q$6,Budget!$P$6,0)</f>
        <v>0</v>
      </c>
      <c r="X85" s="17">
        <f>N("Netflix")-IF(DAY(A85)=Budget!$Q$7,Budget!$P$7,0)</f>
        <v>0</v>
      </c>
      <c r="Y85" s="17">
        <f>N("Spotify")-IF(DAY(A85)=Budget!$Q$8,Budget!$P$8,0)</f>
        <v>0</v>
      </c>
      <c r="Z85" s="17">
        <f>N("Truebill")-IF(DAY(A85)=Budget!$Q$9,Budget!$P$9,0)</f>
        <v>0</v>
      </c>
      <c r="AA85" s="6">
        <f t="shared" si="8"/>
        <v>0</v>
      </c>
    </row>
    <row r="86" spans="1:27" x14ac:dyDescent="0.3">
      <c r="A86" s="4">
        <f t="shared" si="10"/>
        <v>45734</v>
      </c>
      <c r="B86" s="2">
        <f t="shared" si="9"/>
        <v>4282</v>
      </c>
      <c r="C86" s="7">
        <f t="shared" si="11"/>
        <v>0</v>
      </c>
      <c r="D86" s="1">
        <v>0</v>
      </c>
      <c r="E86" s="17">
        <f>N("PAY-LM")+IF(WEEKDAY(A86)=Budget!$C$3,Budget!$B$3,0)</f>
        <v>0</v>
      </c>
      <c r="F86" s="17">
        <f>N("Rent")-IF(DAY(A86)=Budget!$G$3,Budget!$F$3,0)</f>
        <v>0</v>
      </c>
      <c r="G86" s="17">
        <f>N("Car")-IF(DAY(A86)=Budget!$G$4,Budget!$F$4+Budget!$H$4,0)</f>
        <v>0</v>
      </c>
      <c r="H86" s="17">
        <f>N("Mom Rent")-IF(DAY(A86)=Budget!$G$5,Budget!$F$5,0)</f>
        <v>0</v>
      </c>
      <c r="I86" s="17">
        <f>N("AT&amp;T")-IF(DAY(A86)=Budget!$G$8,Budget!$F$8,0)</f>
        <v>-65</v>
      </c>
      <c r="J86" s="17">
        <f>N("GA Power")-IF(DAY(A86)=Budget!$G$9,Budget!$F$9,0)</f>
        <v>0</v>
      </c>
      <c r="K86" s="17">
        <f>N("Haircut")-IF(DAY(A86)=Budget!$G$10,Budget!$F$10,0)</f>
        <v>0</v>
      </c>
      <c r="L86" s="17">
        <f>N("Groceries")-IF(DAY(A86)=Budget!$G$6,Budget!$F$6,0)</f>
        <v>0</v>
      </c>
      <c r="M86" s="17">
        <f>N("Savings")-IF(DAY(A86)=Budget!$G$7,Budget!$F$7,0)</f>
        <v>0</v>
      </c>
      <c r="N86" s="17">
        <f>N("Car Insurance")-COUNTIF(Budget!$G$14, A86)*Budget!$F$14</f>
        <v>0</v>
      </c>
      <c r="O86" s="17">
        <f>N("Phone Bill")-COUNTIF(Budget!$G$15, A86)*Budget!$F$15</f>
        <v>0</v>
      </c>
      <c r="Q86" s="17">
        <f>N("Spotify")-IF(AND(DAY($A86)=Budget!$M$3, MONTH($A86)=Budget!$L$3),Budget!$K$3,0)</f>
        <v>0</v>
      </c>
      <c r="R86" s="17">
        <f>N("Spotify")-IF(AND(DAY($A86)=Budget!$M$4, MONTH($A86)=Budget!$L$4),Budget!$K$4,0)</f>
        <v>0</v>
      </c>
      <c r="S86" s="17">
        <f>N("Spotify")-IF(AND(DAY($A86)=Budget!$M$5, MONTH($A86)=Budget!$L$5),Budget!$K$5,0)</f>
        <v>0</v>
      </c>
      <c r="T86" s="17">
        <f>N("Amazon Prime")-IF(DAY(A86)=Budget!$Q$3,Budget!$P$3,0)</f>
        <v>0</v>
      </c>
      <c r="U86" s="17">
        <f>N("Audible")-IF(DAY(A86)=Budget!$Q$12,Budget!$P$12,0)</f>
        <v>0</v>
      </c>
      <c r="V86" s="17">
        <f>N("Crunchyroll")-IF(DAY(A86)=Budget!$Q$5,Budget!$P$5,0)</f>
        <v>0</v>
      </c>
      <c r="W86" s="17">
        <f>N("HBO Max")-IF(DAY(A86)=Budget!$Q$6,Budget!$P$6,0)</f>
        <v>0</v>
      </c>
      <c r="X86" s="17">
        <f>N("Netflix")-IF(DAY(A86)=Budget!$Q$7,Budget!$P$7,0)</f>
        <v>0</v>
      </c>
      <c r="Y86" s="17">
        <f>N("Spotify")-IF(DAY(A86)=Budget!$Q$8,Budget!$P$8,0)</f>
        <v>0</v>
      </c>
      <c r="Z86" s="17">
        <f>N("Truebill")-IF(DAY(A86)=Budget!$Q$9,Budget!$P$9,0)</f>
        <v>0</v>
      </c>
      <c r="AA86" s="6">
        <f t="shared" si="8"/>
        <v>-65</v>
      </c>
    </row>
    <row r="87" spans="1:27" x14ac:dyDescent="0.3">
      <c r="A87" s="4">
        <f t="shared" si="10"/>
        <v>45735</v>
      </c>
      <c r="B87" s="2">
        <f t="shared" si="9"/>
        <v>4282</v>
      </c>
      <c r="C87" s="7">
        <f t="shared" si="11"/>
        <v>1</v>
      </c>
      <c r="D87" s="1">
        <v>0</v>
      </c>
      <c r="E87" s="17">
        <f>N("PAY-LM")+IF(WEEKDAY(A87)=Budget!$C$3,Budget!$B$3,0)</f>
        <v>0</v>
      </c>
      <c r="F87" s="17">
        <f>N("Rent")-IF(DAY(A87)=Budget!$G$3,Budget!$F$3,0)</f>
        <v>0</v>
      </c>
      <c r="G87" s="17">
        <f>N("Car")-IF(DAY(A87)=Budget!$G$4,Budget!$F$4+Budget!$H$4,0)</f>
        <v>0</v>
      </c>
      <c r="H87" s="17">
        <f>N("Mom Rent")-IF(DAY(A87)=Budget!$G$5,Budget!$F$5,0)</f>
        <v>0</v>
      </c>
      <c r="I87" s="17">
        <f>N("AT&amp;T")-IF(DAY(A87)=Budget!$G$8,Budget!$F$8,0)</f>
        <v>0</v>
      </c>
      <c r="J87" s="17">
        <f>N("GA Power")-IF(DAY(A87)=Budget!$G$9,Budget!$F$9,0)</f>
        <v>0</v>
      </c>
      <c r="K87" s="17">
        <f>N("Haircut")-IF(DAY(A87)=Budget!$G$10,Budget!$F$10,0)</f>
        <v>0</v>
      </c>
      <c r="L87" s="17">
        <f>N("Groceries")-IF(DAY(A87)=Budget!$G$6,Budget!$F$6,0)</f>
        <v>0</v>
      </c>
      <c r="M87" s="17">
        <f>N("Savings")-IF(DAY(A87)=Budget!$G$7,Budget!$F$7,0)</f>
        <v>0</v>
      </c>
      <c r="N87" s="17">
        <f>N("Car Insurance")-COUNTIF(Budget!$G$14, A87)*Budget!$F$14</f>
        <v>0</v>
      </c>
      <c r="O87" s="17">
        <f>N("Phone Bill")-COUNTIF(Budget!$G$15, A87)*Budget!$F$15</f>
        <v>0</v>
      </c>
      <c r="Q87" s="17">
        <f>N("Spotify")-IF(AND(DAY($A87)=Budget!$M$3, MONTH($A87)=Budget!$L$3),Budget!$K$3,0)</f>
        <v>0</v>
      </c>
      <c r="R87" s="17">
        <f>N("Spotify")-IF(AND(DAY($A87)=Budget!$M$4, MONTH($A87)=Budget!$L$4),Budget!$K$4,0)</f>
        <v>0</v>
      </c>
      <c r="S87" s="17">
        <f>N("Spotify")-IF(AND(DAY($A87)=Budget!$M$5, MONTH($A87)=Budget!$L$5),Budget!$K$5,0)</f>
        <v>0</v>
      </c>
      <c r="T87" s="17">
        <f>N("Amazon Prime")-IF(DAY(A87)=Budget!$Q$3,Budget!$P$3,0)</f>
        <v>0</v>
      </c>
      <c r="U87" s="17">
        <f>N("Audible")-IF(DAY(A87)=Budget!$Q$12,Budget!$P$12,0)</f>
        <v>0</v>
      </c>
      <c r="V87" s="17">
        <f>N("Crunchyroll")-IF(DAY(A87)=Budget!$Q$5,Budget!$P$5,0)</f>
        <v>0</v>
      </c>
      <c r="W87" s="17">
        <f>N("HBO Max")-IF(DAY(A87)=Budget!$Q$6,Budget!$P$6,0)</f>
        <v>0</v>
      </c>
      <c r="X87" s="17">
        <f>N("Netflix")-IF(DAY(A87)=Budget!$Q$7,Budget!$P$7,0)</f>
        <v>0</v>
      </c>
      <c r="Y87" s="17">
        <f>N("Spotify")-IF(DAY(A87)=Budget!$Q$8,Budget!$P$8,0)</f>
        <v>0</v>
      </c>
      <c r="Z87" s="17">
        <f>N("Truebill")-IF(DAY(A87)=Budget!$Q$9,Budget!$P$9,0)</f>
        <v>0</v>
      </c>
      <c r="AA87" s="6">
        <f t="shared" si="8"/>
        <v>0</v>
      </c>
    </row>
    <row r="88" spans="1:27" x14ac:dyDescent="0.3">
      <c r="A88" s="4">
        <f t="shared" si="10"/>
        <v>45736</v>
      </c>
      <c r="B88" s="2">
        <f t="shared" si="9"/>
        <v>3432</v>
      </c>
      <c r="C88" s="7">
        <f t="shared" si="11"/>
        <v>0</v>
      </c>
      <c r="D88" s="1">
        <v>0</v>
      </c>
      <c r="E88" s="17">
        <f>N("PAY-LM")+IF(WEEKDAY(A88)=Budget!$C$3,Budget!$B$3,0)</f>
        <v>0</v>
      </c>
      <c r="F88" s="17">
        <f>N("Rent")-IF(DAY(A88)=Budget!$G$3,Budget!$F$3,0)</f>
        <v>0</v>
      </c>
      <c r="G88" s="17">
        <f>N("Car")-IF(DAY(A88)=Budget!$G$4,Budget!$F$4+Budget!$H$4,0)</f>
        <v>0</v>
      </c>
      <c r="H88" s="17">
        <f>N("Mom Rent")-IF(DAY(A88)=Budget!$G$5,Budget!$F$5,0)</f>
        <v>-850</v>
      </c>
      <c r="I88" s="17">
        <f>N("AT&amp;T")-IF(DAY(A88)=Budget!$G$8,Budget!$F$8,0)</f>
        <v>0</v>
      </c>
      <c r="J88" s="17">
        <f>N("GA Power")-IF(DAY(A88)=Budget!$G$9,Budget!$F$9,0)</f>
        <v>0</v>
      </c>
      <c r="K88" s="17">
        <f>N("Haircut")-IF(DAY(A88)=Budget!$G$10,Budget!$F$10,0)</f>
        <v>0</v>
      </c>
      <c r="L88" s="17">
        <f>N("Groceries")-IF(DAY(A88)=Budget!$G$6,Budget!$F$6,0)</f>
        <v>0</v>
      </c>
      <c r="M88" s="17">
        <f>N("Savings")-IF(DAY(A88)=Budget!$G$7,Budget!$F$7,0)</f>
        <v>0</v>
      </c>
      <c r="N88" s="17">
        <f>N("Car Insurance")-COUNTIF(Budget!$G$14, A88)*Budget!$F$14</f>
        <v>0</v>
      </c>
      <c r="O88" s="17">
        <f>N("Phone Bill")-COUNTIF(Budget!$G$15, A88)*Budget!$F$15</f>
        <v>0</v>
      </c>
      <c r="Q88" s="17">
        <f>N("Spotify")-IF(AND(DAY($A88)=Budget!$M$3, MONTH($A88)=Budget!$L$3),Budget!$K$3,0)</f>
        <v>0</v>
      </c>
      <c r="R88" s="17">
        <f>N("Spotify")-IF(AND(DAY($A88)=Budget!$M$4, MONTH($A88)=Budget!$L$4),Budget!$K$4,0)</f>
        <v>0</v>
      </c>
      <c r="S88" s="17">
        <f>N("Spotify")-IF(AND(DAY($A88)=Budget!$M$5, MONTH($A88)=Budget!$L$5),Budget!$K$5,0)</f>
        <v>0</v>
      </c>
      <c r="T88" s="17">
        <f>N("Amazon Prime")-IF(DAY(A88)=Budget!$Q$3,Budget!$P$3,0)</f>
        <v>0</v>
      </c>
      <c r="U88" s="17">
        <f>N("Audible")-IF(DAY(A88)=Budget!$Q$12,Budget!$P$12,0)</f>
        <v>0</v>
      </c>
      <c r="V88" s="17">
        <f>N("Crunchyroll")-IF(DAY(A88)=Budget!$Q$5,Budget!$P$5,0)</f>
        <v>0</v>
      </c>
      <c r="W88" s="17">
        <f>N("HBO Max")-IF(DAY(A88)=Budget!$Q$6,Budget!$P$6,0)</f>
        <v>0</v>
      </c>
      <c r="X88" s="17">
        <f>N("Netflix")-IF(DAY(A88)=Budget!$Q$7,Budget!$P$7,0)</f>
        <v>0</v>
      </c>
      <c r="Y88" s="17">
        <f>N("Spotify")-IF(DAY(A88)=Budget!$Q$8,Budget!$P$8,0)</f>
        <v>0</v>
      </c>
      <c r="Z88" s="17">
        <f>N("Truebill")-IF(DAY(A88)=Budget!$Q$9,Budget!$P$9,0)</f>
        <v>0</v>
      </c>
      <c r="AA88" s="6">
        <f t="shared" si="8"/>
        <v>-850</v>
      </c>
    </row>
    <row r="89" spans="1:27" x14ac:dyDescent="0.3">
      <c r="A89" s="4">
        <f t="shared" si="10"/>
        <v>45737</v>
      </c>
      <c r="B89" s="2">
        <f t="shared" si="9"/>
        <v>4885</v>
      </c>
      <c r="C89" s="7">
        <f t="shared" si="11"/>
        <v>2</v>
      </c>
      <c r="D89" s="1">
        <v>0</v>
      </c>
      <c r="E89" s="17">
        <f>N("PAY-LM")+IF(WEEKDAY(A89)=Budget!$C$3,Budget!$B$3,0)</f>
        <v>1453</v>
      </c>
      <c r="F89" s="17">
        <f>N("Rent")-IF(DAY(A89)=Budget!$G$3,Budget!$F$3,0)</f>
        <v>0</v>
      </c>
      <c r="G89" s="17">
        <f>N("Car")-IF(DAY(A89)=Budget!$G$4,Budget!$F$4+Budget!$H$4,0)</f>
        <v>0</v>
      </c>
      <c r="H89" s="17">
        <f>N("Mom Rent")-IF(DAY(A89)=Budget!$G$5,Budget!$F$5,0)</f>
        <v>0</v>
      </c>
      <c r="I89" s="17">
        <f>N("AT&amp;T")-IF(DAY(A89)=Budget!$G$8,Budget!$F$8,0)</f>
        <v>0</v>
      </c>
      <c r="J89" s="17">
        <f>N("GA Power")-IF(DAY(A89)=Budget!$G$9,Budget!$F$9,0)</f>
        <v>0</v>
      </c>
      <c r="K89" s="17">
        <f>N("Haircut")-IF(DAY(A89)=Budget!$G$10,Budget!$F$10,0)</f>
        <v>0</v>
      </c>
      <c r="L89" s="17">
        <f>N("Groceries")-IF(DAY(A89)=Budget!$G$6,Budget!$F$6,0)</f>
        <v>0</v>
      </c>
      <c r="M89" s="17">
        <f>N("Savings")-IF(DAY(A89)=Budget!$G$7,Budget!$F$7,0)</f>
        <v>0</v>
      </c>
      <c r="N89" s="17">
        <f>N("Car Insurance")-COUNTIF(Budget!$G$14, A89)*Budget!$F$14</f>
        <v>0</v>
      </c>
      <c r="O89" s="17">
        <f>N("Phone Bill")-COUNTIF(Budget!$G$15, A89)*Budget!$F$15</f>
        <v>0</v>
      </c>
      <c r="Q89" s="17">
        <f>N("Spotify")-IF(AND(DAY($A89)=Budget!$M$3, MONTH($A89)=Budget!$L$3),Budget!$K$3,0)</f>
        <v>0</v>
      </c>
      <c r="R89" s="17">
        <f>N("Spotify")-IF(AND(DAY($A89)=Budget!$M$4, MONTH($A89)=Budget!$L$4),Budget!$K$4,0)</f>
        <v>0</v>
      </c>
      <c r="S89" s="17">
        <f>N("Spotify")-IF(AND(DAY($A89)=Budget!$M$5, MONTH($A89)=Budget!$L$5),Budget!$K$5,0)</f>
        <v>0</v>
      </c>
      <c r="T89" s="17">
        <f>N("Amazon Prime")-IF(DAY(A89)=Budget!$Q$3,Budget!$P$3,0)</f>
        <v>0</v>
      </c>
      <c r="U89" s="17">
        <f>N("Audible")-IF(DAY(A89)=Budget!$Q$12,Budget!$P$12,0)</f>
        <v>0</v>
      </c>
      <c r="V89" s="17">
        <f>N("Crunchyroll")-IF(DAY(A89)=Budget!$Q$5,Budget!$P$5,0)</f>
        <v>0</v>
      </c>
      <c r="W89" s="17">
        <f>N("HBO Max")-IF(DAY(A89)=Budget!$Q$6,Budget!$P$6,0)</f>
        <v>0</v>
      </c>
      <c r="X89" s="17">
        <f>N("Netflix")-IF(DAY(A89)=Budget!$Q$7,Budget!$P$7,0)</f>
        <v>0</v>
      </c>
      <c r="Y89" s="17">
        <f>N("Spotify")-IF(DAY(A89)=Budget!$Q$8,Budget!$P$8,0)</f>
        <v>0</v>
      </c>
      <c r="Z89" s="17">
        <f>N("Truebill")-IF(DAY(A89)=Budget!$Q$9,Budget!$P$9,0)</f>
        <v>0</v>
      </c>
      <c r="AA89" s="6">
        <f t="shared" si="8"/>
        <v>1453</v>
      </c>
    </row>
    <row r="90" spans="1:27" x14ac:dyDescent="0.3">
      <c r="A90" s="4">
        <f t="shared" si="10"/>
        <v>45738</v>
      </c>
      <c r="B90" s="2">
        <f t="shared" si="9"/>
        <v>4885</v>
      </c>
      <c r="C90" s="7">
        <f t="shared" si="11"/>
        <v>1</v>
      </c>
      <c r="D90" s="1">
        <v>0</v>
      </c>
      <c r="E90" s="17">
        <f>N("PAY-LM")+IF(WEEKDAY(A90)=Budget!$C$3,Budget!$B$3,0)</f>
        <v>0</v>
      </c>
      <c r="F90" s="17">
        <f>N("Rent")-IF(DAY(A90)=Budget!$G$3,Budget!$F$3,0)</f>
        <v>0</v>
      </c>
      <c r="G90" s="17">
        <f>N("Car")-IF(DAY(A90)=Budget!$G$4,Budget!$F$4+Budget!$H$4,0)</f>
        <v>0</v>
      </c>
      <c r="H90" s="17">
        <f>N("Mom Rent")-IF(DAY(A90)=Budget!$G$5,Budget!$F$5,0)</f>
        <v>0</v>
      </c>
      <c r="I90" s="17">
        <f>N("AT&amp;T")-IF(DAY(A90)=Budget!$G$8,Budget!$F$8,0)</f>
        <v>0</v>
      </c>
      <c r="J90" s="17">
        <f>N("GA Power")-IF(DAY(A90)=Budget!$G$9,Budget!$F$9,0)</f>
        <v>0</v>
      </c>
      <c r="K90" s="17">
        <f>N("Haircut")-IF(DAY(A90)=Budget!$G$10,Budget!$F$10,0)</f>
        <v>0</v>
      </c>
      <c r="L90" s="17">
        <f>N("Groceries")-IF(DAY(A90)=Budget!$G$6,Budget!$F$6,0)</f>
        <v>0</v>
      </c>
      <c r="M90" s="17">
        <f>N("Savings")-IF(DAY(A90)=Budget!$G$7,Budget!$F$7,0)</f>
        <v>0</v>
      </c>
      <c r="N90" s="17">
        <f>N("Car Insurance")-COUNTIF(Budget!$G$14, A90)*Budget!$F$14</f>
        <v>0</v>
      </c>
      <c r="O90" s="17">
        <f>N("Phone Bill")-COUNTIF(Budget!$G$15, A90)*Budget!$F$15</f>
        <v>0</v>
      </c>
      <c r="Q90" s="17">
        <f>N("Spotify")-IF(AND(DAY($A90)=Budget!$M$3, MONTH($A90)=Budget!$L$3),Budget!$K$3,0)</f>
        <v>0</v>
      </c>
      <c r="R90" s="17">
        <f>N("Spotify")-IF(AND(DAY($A90)=Budget!$M$4, MONTH($A90)=Budget!$L$4),Budget!$K$4,0)</f>
        <v>0</v>
      </c>
      <c r="S90" s="17">
        <f>N("Spotify")-IF(AND(DAY($A90)=Budget!$M$5, MONTH($A90)=Budget!$L$5),Budget!$K$5,0)</f>
        <v>0</v>
      </c>
      <c r="T90" s="17">
        <f>N("Amazon Prime")-IF(DAY(A90)=Budget!$Q$3,Budget!$P$3,0)</f>
        <v>0</v>
      </c>
      <c r="U90" s="17">
        <f>N("Audible")-IF(DAY(A90)=Budget!$Q$12,Budget!$P$12,0)</f>
        <v>0</v>
      </c>
      <c r="V90" s="17">
        <f>N("Crunchyroll")-IF(DAY(A90)=Budget!$Q$5,Budget!$P$5,0)</f>
        <v>0</v>
      </c>
      <c r="W90" s="17">
        <f>N("HBO Max")-IF(DAY(A90)=Budget!$Q$6,Budget!$P$6,0)</f>
        <v>0</v>
      </c>
      <c r="X90" s="17">
        <f>N("Netflix")-IF(DAY(A90)=Budget!$Q$7,Budget!$P$7,0)</f>
        <v>0</v>
      </c>
      <c r="Y90" s="17">
        <f>N("Spotify")-IF(DAY(A90)=Budget!$Q$8,Budget!$P$8,0)</f>
        <v>0</v>
      </c>
      <c r="Z90" s="17">
        <f>N("Truebill")-IF(DAY(A90)=Budget!$Q$9,Budget!$P$9,0)</f>
        <v>0</v>
      </c>
      <c r="AA90" s="6">
        <f t="shared" si="8"/>
        <v>0</v>
      </c>
    </row>
    <row r="91" spans="1:27" x14ac:dyDescent="0.3">
      <c r="A91" s="4">
        <f t="shared" si="10"/>
        <v>45739</v>
      </c>
      <c r="B91" s="2">
        <f t="shared" si="9"/>
        <v>4885</v>
      </c>
      <c r="C91" s="7">
        <f t="shared" si="11"/>
        <v>1</v>
      </c>
      <c r="D91" s="1">
        <v>0</v>
      </c>
      <c r="E91" s="17">
        <f>N("PAY-LM")+IF(WEEKDAY(A91)=Budget!$C$3,Budget!$B$3,0)</f>
        <v>0</v>
      </c>
      <c r="F91" s="17">
        <f>N("Rent")-IF(DAY(A91)=Budget!$G$3,Budget!$F$3,0)</f>
        <v>0</v>
      </c>
      <c r="G91" s="17">
        <f>N("Car")-IF(DAY(A91)=Budget!$G$4,Budget!$F$4+Budget!$H$4,0)</f>
        <v>0</v>
      </c>
      <c r="H91" s="17">
        <f>N("Mom Rent")-IF(DAY(A91)=Budget!$G$5,Budget!$F$5,0)</f>
        <v>0</v>
      </c>
      <c r="I91" s="17">
        <f>N("AT&amp;T")-IF(DAY(A91)=Budget!$G$8,Budget!$F$8,0)</f>
        <v>0</v>
      </c>
      <c r="J91" s="17">
        <f>N("GA Power")-IF(DAY(A91)=Budget!$G$9,Budget!$F$9,0)</f>
        <v>0</v>
      </c>
      <c r="K91" s="17">
        <f>N("Haircut")-IF(DAY(A91)=Budget!$G$10,Budget!$F$10,0)</f>
        <v>0</v>
      </c>
      <c r="L91" s="17">
        <f>N("Groceries")-IF(DAY(A91)=Budget!$G$6,Budget!$F$6,0)</f>
        <v>0</v>
      </c>
      <c r="M91" s="17">
        <f>N("Savings")-IF(DAY(A91)=Budget!$G$7,Budget!$F$7,0)</f>
        <v>0</v>
      </c>
      <c r="N91" s="17">
        <f>N("Car Insurance")-COUNTIF(Budget!$G$14, A91)*Budget!$F$14</f>
        <v>0</v>
      </c>
      <c r="O91" s="17">
        <f>N("Phone Bill")-COUNTIF(Budget!$G$15, A91)*Budget!$F$15</f>
        <v>0</v>
      </c>
      <c r="Q91" s="17">
        <f>N("Spotify")-IF(AND(DAY($A91)=Budget!$M$3, MONTH($A91)=Budget!$L$3),Budget!$K$3,0)</f>
        <v>0</v>
      </c>
      <c r="R91" s="17">
        <f>N("Spotify")-IF(AND(DAY($A91)=Budget!$M$4, MONTH($A91)=Budget!$L$4),Budget!$K$4,0)</f>
        <v>0</v>
      </c>
      <c r="S91" s="17">
        <f>N("Spotify")-IF(AND(DAY($A91)=Budget!$M$5, MONTH($A91)=Budget!$L$5),Budget!$K$5,0)</f>
        <v>0</v>
      </c>
      <c r="T91" s="17">
        <f>N("Amazon Prime")-IF(DAY(A91)=Budget!$Q$3,Budget!$P$3,0)</f>
        <v>0</v>
      </c>
      <c r="U91" s="17">
        <f>N("Audible")-IF(DAY(A91)=Budget!$Q$12,Budget!$P$12,0)</f>
        <v>0</v>
      </c>
      <c r="V91" s="17">
        <f>N("Crunchyroll")-IF(DAY(A91)=Budget!$Q$5,Budget!$P$5,0)</f>
        <v>0</v>
      </c>
      <c r="W91" s="17">
        <f>N("HBO Max")-IF(DAY(A91)=Budget!$Q$6,Budget!$P$6,0)</f>
        <v>0</v>
      </c>
      <c r="X91" s="17">
        <f>N("Netflix")-IF(DAY(A91)=Budget!$Q$7,Budget!$P$7,0)</f>
        <v>0</v>
      </c>
      <c r="Y91" s="17">
        <f>N("Spotify")-IF(DAY(A91)=Budget!$Q$8,Budget!$P$8,0)</f>
        <v>0</v>
      </c>
      <c r="Z91" s="17">
        <f>N("Truebill")-IF(DAY(A91)=Budget!$Q$9,Budget!$P$9,0)</f>
        <v>0</v>
      </c>
      <c r="AA91" s="6">
        <f t="shared" si="8"/>
        <v>0</v>
      </c>
    </row>
    <row r="92" spans="1:27" x14ac:dyDescent="0.3">
      <c r="A92" s="4">
        <f t="shared" si="10"/>
        <v>45740</v>
      </c>
      <c r="B92" s="2">
        <f t="shared" si="9"/>
        <v>4885</v>
      </c>
      <c r="C92" s="7">
        <f t="shared" si="11"/>
        <v>1</v>
      </c>
      <c r="D92" s="1">
        <v>0</v>
      </c>
      <c r="E92" s="17">
        <f>N("PAY-LM")+IF(WEEKDAY(A92)=Budget!$C$3,Budget!$B$3,0)</f>
        <v>0</v>
      </c>
      <c r="F92" s="17">
        <f>N("Rent")-IF(DAY(A92)=Budget!$G$3,Budget!$F$3,0)</f>
        <v>0</v>
      </c>
      <c r="G92" s="17">
        <f>N("Car")-IF(DAY(A92)=Budget!$G$4,Budget!$F$4+Budget!$H$4,0)</f>
        <v>0</v>
      </c>
      <c r="H92" s="17">
        <f>N("Mom Rent")-IF(DAY(A92)=Budget!$G$5,Budget!$F$5,0)</f>
        <v>0</v>
      </c>
      <c r="I92" s="17">
        <f>N("AT&amp;T")-IF(DAY(A92)=Budget!$G$8,Budget!$F$8,0)</f>
        <v>0</v>
      </c>
      <c r="J92" s="17">
        <f>N("GA Power")-IF(DAY(A92)=Budget!$G$9,Budget!$F$9,0)</f>
        <v>0</v>
      </c>
      <c r="K92" s="17">
        <f>N("Haircut")-IF(DAY(A92)=Budget!$G$10,Budget!$F$10,0)</f>
        <v>0</v>
      </c>
      <c r="L92" s="17">
        <f>N("Groceries")-IF(DAY(A92)=Budget!$G$6,Budget!$F$6,0)</f>
        <v>0</v>
      </c>
      <c r="M92" s="17">
        <f>N("Savings")-IF(DAY(A92)=Budget!$G$7,Budget!$F$7,0)</f>
        <v>0</v>
      </c>
      <c r="N92" s="17">
        <f>N("Car Insurance")-COUNTIF(Budget!$G$14, A92)*Budget!$F$14</f>
        <v>0</v>
      </c>
      <c r="O92" s="17">
        <f>N("Phone Bill")-COUNTIF(Budget!$G$15, A92)*Budget!$F$15</f>
        <v>0</v>
      </c>
      <c r="Q92" s="17">
        <f>N("Spotify")-IF(AND(DAY($A92)=Budget!$M$3, MONTH($A92)=Budget!$L$3),Budget!$K$3,0)</f>
        <v>0</v>
      </c>
      <c r="R92" s="17">
        <f>N("Spotify")-IF(AND(DAY($A92)=Budget!$M$4, MONTH($A92)=Budget!$L$4),Budget!$K$4,0)</f>
        <v>0</v>
      </c>
      <c r="S92" s="17">
        <f>N("Spotify")-IF(AND(DAY($A92)=Budget!$M$5, MONTH($A92)=Budget!$L$5),Budget!$K$5,0)</f>
        <v>0</v>
      </c>
      <c r="T92" s="17">
        <f>N("Amazon Prime")-IF(DAY(A92)=Budget!$Q$3,Budget!$P$3,0)</f>
        <v>0</v>
      </c>
      <c r="U92" s="17">
        <f>N("Audible")-IF(DAY(A92)=Budget!$Q$12,Budget!$P$12,0)</f>
        <v>0</v>
      </c>
      <c r="V92" s="17">
        <f>N("Crunchyroll")-IF(DAY(A92)=Budget!$Q$5,Budget!$P$5,0)</f>
        <v>0</v>
      </c>
      <c r="W92" s="17">
        <f>N("HBO Max")-IF(DAY(A92)=Budget!$Q$6,Budget!$P$6,0)</f>
        <v>0</v>
      </c>
      <c r="X92" s="17">
        <f>N("Netflix")-IF(DAY(A92)=Budget!$Q$7,Budget!$P$7,0)</f>
        <v>0</v>
      </c>
      <c r="Y92" s="17">
        <f>N("Spotify")-IF(DAY(A92)=Budget!$Q$8,Budget!$P$8,0)</f>
        <v>0</v>
      </c>
      <c r="Z92" s="17">
        <f>N("Truebill")-IF(DAY(A92)=Budget!$Q$9,Budget!$P$9,0)</f>
        <v>0</v>
      </c>
      <c r="AA92" s="6">
        <f t="shared" si="8"/>
        <v>0</v>
      </c>
    </row>
    <row r="93" spans="1:27" x14ac:dyDescent="0.3">
      <c r="A93" s="4">
        <f t="shared" si="10"/>
        <v>45741</v>
      </c>
      <c r="B93" s="2">
        <f t="shared" si="9"/>
        <v>4885</v>
      </c>
      <c r="C93" s="7">
        <f t="shared" si="11"/>
        <v>1</v>
      </c>
      <c r="D93" s="1">
        <v>0</v>
      </c>
      <c r="E93" s="17">
        <f>N("PAY-LM")+IF(WEEKDAY(A93)=Budget!$C$3,Budget!$B$3,0)</f>
        <v>0</v>
      </c>
      <c r="F93" s="17">
        <f>N("Rent")-IF(DAY(A93)=Budget!$G$3,Budget!$F$3,0)</f>
        <v>0</v>
      </c>
      <c r="G93" s="17">
        <f>N("Car")-IF(DAY(A93)=Budget!$G$4,Budget!$F$4+Budget!$H$4,0)</f>
        <v>0</v>
      </c>
      <c r="H93" s="17">
        <f>N("Mom Rent")-IF(DAY(A93)=Budget!$G$5,Budget!$F$5,0)</f>
        <v>0</v>
      </c>
      <c r="I93" s="17">
        <f>N("AT&amp;T")-IF(DAY(A93)=Budget!$G$8,Budget!$F$8,0)</f>
        <v>0</v>
      </c>
      <c r="J93" s="17">
        <f>N("GA Power")-IF(DAY(A93)=Budget!$G$9,Budget!$F$9,0)</f>
        <v>0</v>
      </c>
      <c r="K93" s="17">
        <f>N("Haircut")-IF(DAY(A93)=Budget!$G$10,Budget!$F$10,0)</f>
        <v>0</v>
      </c>
      <c r="L93" s="17">
        <f>N("Groceries")-IF(DAY(A93)=Budget!$G$6,Budget!$F$6,0)</f>
        <v>0</v>
      </c>
      <c r="M93" s="17">
        <f>N("Savings")-IF(DAY(A93)=Budget!$G$7,Budget!$F$7,0)</f>
        <v>0</v>
      </c>
      <c r="N93" s="17">
        <f>N("Car Insurance")-COUNTIF(Budget!$G$14, A93)*Budget!$F$14</f>
        <v>0</v>
      </c>
      <c r="O93" s="17">
        <f>N("Phone Bill")-COUNTIF(Budget!$G$15, A93)*Budget!$F$15</f>
        <v>0</v>
      </c>
      <c r="Q93" s="17">
        <f>N("Spotify")-IF(AND(DAY($A93)=Budget!$M$3, MONTH($A93)=Budget!$L$3),Budget!$K$3,0)</f>
        <v>0</v>
      </c>
      <c r="R93" s="17">
        <f>N("Spotify")-IF(AND(DAY($A93)=Budget!$M$4, MONTH($A93)=Budget!$L$4),Budget!$K$4,0)</f>
        <v>0</v>
      </c>
      <c r="S93" s="17">
        <f>N("Spotify")-IF(AND(DAY($A93)=Budget!$M$5, MONTH($A93)=Budget!$L$5),Budget!$K$5,0)</f>
        <v>0</v>
      </c>
      <c r="T93" s="17">
        <f>N("Amazon Prime")-IF(DAY(A93)=Budget!$Q$3,Budget!$P$3,0)</f>
        <v>0</v>
      </c>
      <c r="U93" s="17">
        <f>N("Audible")-IF(DAY(A93)=Budget!$Q$12,Budget!$P$12,0)</f>
        <v>0</v>
      </c>
      <c r="V93" s="17">
        <f>N("Crunchyroll")-IF(DAY(A93)=Budget!$Q$5,Budget!$P$5,0)</f>
        <v>0</v>
      </c>
      <c r="W93" s="17">
        <f>N("HBO Max")-IF(DAY(A93)=Budget!$Q$6,Budget!$P$6,0)</f>
        <v>0</v>
      </c>
      <c r="X93" s="17">
        <f>N("Netflix")-IF(DAY(A93)=Budget!$Q$7,Budget!$P$7,0)</f>
        <v>0</v>
      </c>
      <c r="Y93" s="17">
        <f>N("Spotify")-IF(DAY(A93)=Budget!$Q$8,Budget!$P$8,0)</f>
        <v>0</v>
      </c>
      <c r="Z93" s="17">
        <f>N("Truebill")-IF(DAY(A93)=Budget!$Q$9,Budget!$P$9,0)</f>
        <v>0</v>
      </c>
      <c r="AA93" s="6">
        <f t="shared" si="8"/>
        <v>0</v>
      </c>
    </row>
    <row r="94" spans="1:27" x14ac:dyDescent="0.3">
      <c r="A94" s="4">
        <f t="shared" si="10"/>
        <v>45742</v>
      </c>
      <c r="B94" s="2">
        <f t="shared" si="9"/>
        <v>4485</v>
      </c>
      <c r="C94" s="7">
        <f t="shared" si="11"/>
        <v>0</v>
      </c>
      <c r="D94" s="1">
        <v>0</v>
      </c>
      <c r="E94" s="17">
        <f>N("PAY-LM")+IF(WEEKDAY(A94)=Budget!$C$3,Budget!$B$3,0)</f>
        <v>0</v>
      </c>
      <c r="F94" s="17">
        <f>N("Rent")-IF(DAY(A94)=Budget!$G$3,Budget!$F$3,0)</f>
        <v>0</v>
      </c>
      <c r="G94" s="17">
        <f>N("Car")-IF(DAY(A94)=Budget!$G$4,Budget!$F$4+Budget!$H$4,0)</f>
        <v>0</v>
      </c>
      <c r="H94" s="17">
        <f>N("Mom Rent")-IF(DAY(A94)=Budget!$G$5,Budget!$F$5,0)</f>
        <v>0</v>
      </c>
      <c r="I94" s="17">
        <f>N("AT&amp;T")-IF(DAY(A94)=Budget!$G$8,Budget!$F$8,0)</f>
        <v>0</v>
      </c>
      <c r="J94" s="17">
        <f>N("GA Power")-IF(DAY(A94)=Budget!$G$9,Budget!$F$9,0)</f>
        <v>0</v>
      </c>
      <c r="K94" s="17">
        <f>N("Haircut")-IF(DAY(A94)=Budget!$G$10,Budget!$F$10,0)</f>
        <v>-400</v>
      </c>
      <c r="L94" s="17">
        <f>N("Groceries")-IF(DAY(A94)=Budget!$G$6,Budget!$F$6,0)</f>
        <v>0</v>
      </c>
      <c r="M94" s="17">
        <f>N("Savings")-IF(DAY(A94)=Budget!$G$7,Budget!$F$7,0)</f>
        <v>0</v>
      </c>
      <c r="N94" s="17">
        <f>N("Car Insurance")-COUNTIF(Budget!$G$14, A94)*Budget!$F$14</f>
        <v>0</v>
      </c>
      <c r="O94" s="17">
        <f>N("Phone Bill")-COUNTIF(Budget!$G$15, A94)*Budget!$F$15</f>
        <v>0</v>
      </c>
      <c r="Q94" s="17">
        <f>N("Spotify")-IF(AND(DAY($A94)=Budget!$M$3, MONTH($A94)=Budget!$L$3),Budget!$K$3,0)</f>
        <v>0</v>
      </c>
      <c r="R94" s="17">
        <f>N("Spotify")-IF(AND(DAY($A94)=Budget!$M$4, MONTH($A94)=Budget!$L$4),Budget!$K$4,0)</f>
        <v>0</v>
      </c>
      <c r="S94" s="17">
        <f>N("Spotify")-IF(AND(DAY($A94)=Budget!$M$5, MONTH($A94)=Budget!$L$5),Budget!$K$5,0)</f>
        <v>0</v>
      </c>
      <c r="T94" s="17">
        <f>N("Amazon Prime")-IF(DAY(A94)=Budget!$Q$3,Budget!$P$3,0)</f>
        <v>0</v>
      </c>
      <c r="U94" s="17">
        <f>N("Audible")-IF(DAY(A94)=Budget!$Q$12,Budget!$P$12,0)</f>
        <v>0</v>
      </c>
      <c r="V94" s="17">
        <f>N("Crunchyroll")-IF(DAY(A94)=Budget!$Q$5,Budget!$P$5,0)</f>
        <v>0</v>
      </c>
      <c r="W94" s="17">
        <f>N("HBO Max")-IF(DAY(A94)=Budget!$Q$6,Budget!$P$6,0)</f>
        <v>0</v>
      </c>
      <c r="X94" s="17">
        <f>N("Netflix")-IF(DAY(A94)=Budget!$Q$7,Budget!$P$7,0)</f>
        <v>0</v>
      </c>
      <c r="Y94" s="17">
        <f>N("Spotify")-IF(DAY(A94)=Budget!$Q$8,Budget!$P$8,0)</f>
        <v>0</v>
      </c>
      <c r="Z94" s="17">
        <f>N("Truebill")-IF(DAY(A94)=Budget!$Q$9,Budget!$P$9,0)</f>
        <v>0</v>
      </c>
      <c r="AA94" s="6">
        <f t="shared" si="8"/>
        <v>-400</v>
      </c>
    </row>
    <row r="95" spans="1:27" x14ac:dyDescent="0.3">
      <c r="A95" s="4">
        <f t="shared" si="10"/>
        <v>45743</v>
      </c>
      <c r="B95" s="2">
        <f t="shared" si="9"/>
        <v>4485</v>
      </c>
      <c r="C95" s="7">
        <f t="shared" si="11"/>
        <v>1</v>
      </c>
      <c r="D95" s="1">
        <v>0</v>
      </c>
      <c r="E95" s="17">
        <f>N("PAY-LM")+IF(WEEKDAY(A95)=Budget!$C$3,Budget!$B$3,0)</f>
        <v>0</v>
      </c>
      <c r="F95" s="17">
        <f>N("Rent")-IF(DAY(A95)=Budget!$G$3,Budget!$F$3,0)</f>
        <v>0</v>
      </c>
      <c r="G95" s="17">
        <f>N("Car")-IF(DAY(A95)=Budget!$G$4,Budget!$F$4+Budget!$H$4,0)</f>
        <v>0</v>
      </c>
      <c r="H95" s="17">
        <f>N("Mom Rent")-IF(DAY(A95)=Budget!$G$5,Budget!$F$5,0)</f>
        <v>0</v>
      </c>
      <c r="I95" s="17">
        <f>N("AT&amp;T")-IF(DAY(A95)=Budget!$G$8,Budget!$F$8,0)</f>
        <v>0</v>
      </c>
      <c r="J95" s="17">
        <f>N("GA Power")-IF(DAY(A95)=Budget!$G$9,Budget!$F$9,0)</f>
        <v>0</v>
      </c>
      <c r="K95" s="17">
        <f>N("Haircut")-IF(DAY(A95)=Budget!$G$10,Budget!$F$10,0)</f>
        <v>0</v>
      </c>
      <c r="L95" s="17">
        <f>N("Groceries")-IF(DAY(A95)=Budget!$G$6,Budget!$F$6,0)</f>
        <v>0</v>
      </c>
      <c r="M95" s="17">
        <f>N("Savings")-IF(DAY(A95)=Budget!$G$7,Budget!$F$7,0)</f>
        <v>0</v>
      </c>
      <c r="N95" s="17">
        <f>N("Car Insurance")-COUNTIF(Budget!$G$14, A95)*Budget!$F$14</f>
        <v>0</v>
      </c>
      <c r="O95" s="17">
        <f>N("Phone Bill")-COUNTIF(Budget!$G$15, A95)*Budget!$F$15</f>
        <v>0</v>
      </c>
      <c r="Q95" s="17">
        <f>N("Spotify")-IF(AND(DAY($A95)=Budget!$M$3, MONTH($A95)=Budget!$L$3),Budget!$K$3,0)</f>
        <v>0</v>
      </c>
      <c r="R95" s="17">
        <f>N("Spotify")-IF(AND(DAY($A95)=Budget!$M$4, MONTH($A95)=Budget!$L$4),Budget!$K$4,0)</f>
        <v>0</v>
      </c>
      <c r="S95" s="17">
        <f>N("Spotify")-IF(AND(DAY($A95)=Budget!$M$5, MONTH($A95)=Budget!$L$5),Budget!$K$5,0)</f>
        <v>0</v>
      </c>
      <c r="T95" s="17">
        <f>N("Amazon Prime")-IF(DAY(A95)=Budget!$Q$3,Budget!$P$3,0)</f>
        <v>0</v>
      </c>
      <c r="U95" s="17">
        <f>N("Audible")-IF(DAY(A95)=Budget!$Q$12,Budget!$P$12,0)</f>
        <v>0</v>
      </c>
      <c r="V95" s="17">
        <f>N("Crunchyroll")-IF(DAY(A95)=Budget!$Q$5,Budget!$P$5,0)</f>
        <v>0</v>
      </c>
      <c r="W95" s="17">
        <f>N("HBO Max")-IF(DAY(A95)=Budget!$Q$6,Budget!$P$6,0)</f>
        <v>0</v>
      </c>
      <c r="X95" s="17">
        <f>N("Netflix")-IF(DAY(A95)=Budget!$Q$7,Budget!$P$7,0)</f>
        <v>0</v>
      </c>
      <c r="Y95" s="17">
        <f>N("Spotify")-IF(DAY(A95)=Budget!$Q$8,Budget!$P$8,0)</f>
        <v>0</v>
      </c>
      <c r="Z95" s="17">
        <f>N("Truebill")-IF(DAY(A95)=Budget!$Q$9,Budget!$P$9,0)</f>
        <v>0</v>
      </c>
      <c r="AA95" s="6">
        <f t="shared" si="8"/>
        <v>0</v>
      </c>
    </row>
    <row r="96" spans="1:27" x14ac:dyDescent="0.3">
      <c r="A96" s="4">
        <f t="shared" si="10"/>
        <v>45744</v>
      </c>
      <c r="B96" s="2">
        <f t="shared" si="9"/>
        <v>4788</v>
      </c>
      <c r="C96" s="7">
        <f t="shared" si="11"/>
        <v>2</v>
      </c>
      <c r="D96" s="1">
        <v>0</v>
      </c>
      <c r="E96" s="17">
        <f>N("PAY-LM")+IF(WEEKDAY(A96)=Budget!$C$3,Budget!$B$3,0)</f>
        <v>1453</v>
      </c>
      <c r="F96" s="17">
        <f>N("Rent")-IF(DAY(A96)=Budget!$G$3,Budget!$F$3,0)</f>
        <v>0</v>
      </c>
      <c r="G96" s="17">
        <f>N("Car")-IF(DAY(A96)=Budget!$G$4,Budget!$F$4+Budget!$H$4,0)</f>
        <v>0</v>
      </c>
      <c r="H96" s="17">
        <f>N("Mom Rent")-IF(DAY(A96)=Budget!$G$5,Budget!$F$5,0)</f>
        <v>0</v>
      </c>
      <c r="I96" s="17">
        <f>N("AT&amp;T")-IF(DAY(A96)=Budget!$G$8,Budget!$F$8,0)</f>
        <v>0</v>
      </c>
      <c r="J96" s="17">
        <f>N("GA Power")-IF(DAY(A96)=Budget!$G$9,Budget!$F$9,0)</f>
        <v>0</v>
      </c>
      <c r="K96" s="17">
        <f>N("Haircut")-IF(DAY(A96)=Budget!$G$10,Budget!$F$10,0)</f>
        <v>0</v>
      </c>
      <c r="L96" s="17">
        <f>N("Groceries")-IF(DAY(A96)=Budget!$G$6,Budget!$F$6,0)</f>
        <v>0</v>
      </c>
      <c r="M96" s="17">
        <f>N("Savings")-IF(DAY(A96)=Budget!$G$7,Budget!$F$7,0)</f>
        <v>-1000</v>
      </c>
      <c r="N96" s="17">
        <f>N("Car Insurance")-COUNTIF(Budget!$G$14, A96)*Budget!$F$14</f>
        <v>0</v>
      </c>
      <c r="O96" s="17">
        <f>N("Phone Bill")-COUNTIF(Budget!$G$15, A96)*Budget!$F$15</f>
        <v>0</v>
      </c>
      <c r="Q96" s="17">
        <f>N("Spotify")-IF(AND(DAY($A96)=Budget!$M$3, MONTH($A96)=Budget!$L$3),Budget!$K$3,0)</f>
        <v>0</v>
      </c>
      <c r="R96" s="17">
        <f>N("Spotify")-IF(AND(DAY($A96)=Budget!$M$4, MONTH($A96)=Budget!$L$4),Budget!$K$4,0)</f>
        <v>0</v>
      </c>
      <c r="S96" s="17">
        <f>N("Spotify")-IF(AND(DAY($A96)=Budget!$M$5, MONTH($A96)=Budget!$L$5),Budget!$K$5,0)</f>
        <v>0</v>
      </c>
      <c r="T96" s="17">
        <f>N("Amazon Prime")-IF(DAY(A96)=Budget!$Q$3,Budget!$P$3,0)</f>
        <v>0</v>
      </c>
      <c r="U96" s="17">
        <f>N("Audible")-IF(DAY(A96)=Budget!$Q$12,Budget!$P$12,0)</f>
        <v>0</v>
      </c>
      <c r="V96" s="17">
        <f>N("Crunchyroll")-IF(DAY(A96)=Budget!$Q$5,Budget!$P$5,0)</f>
        <v>0</v>
      </c>
      <c r="W96" s="17">
        <f>N("HBO Max")-IF(DAY(A96)=Budget!$Q$6,Budget!$P$6,0)</f>
        <v>0</v>
      </c>
      <c r="X96" s="17">
        <f>N("Netflix")-IF(DAY(A96)=Budget!$Q$7,Budget!$P$7,0)</f>
        <v>0</v>
      </c>
      <c r="Y96" s="17">
        <f>N("Spotify")-IF(DAY(A96)=Budget!$Q$8,Budget!$P$8,0)</f>
        <v>-150</v>
      </c>
      <c r="Z96" s="17">
        <f>N("Truebill")-IF(DAY(A96)=Budget!$Q$9,Budget!$P$9,0)</f>
        <v>0</v>
      </c>
      <c r="AA96" s="6">
        <f t="shared" si="8"/>
        <v>303</v>
      </c>
    </row>
    <row r="97" spans="1:30" x14ac:dyDescent="0.3">
      <c r="A97" s="4">
        <f t="shared" si="10"/>
        <v>45745</v>
      </c>
      <c r="B97" s="2">
        <f t="shared" si="9"/>
        <v>4763.3999999999996</v>
      </c>
      <c r="C97" s="7">
        <f>IF(B97&gt;B96,2,IF(B97=B96, 1,0))</f>
        <v>0</v>
      </c>
      <c r="D97" s="1">
        <v>0</v>
      </c>
      <c r="E97" s="17">
        <f>N("PAY-LM")+IF(WEEKDAY(A97)=Budget!$C$3,Budget!$B$3,0)</f>
        <v>0</v>
      </c>
      <c r="F97" s="17">
        <f>N("Rent")-IF(DAY(A97)=Budget!$G$3,Budget!$F$3,0)</f>
        <v>0</v>
      </c>
      <c r="G97" s="17">
        <f>N("Car")-IF(DAY(A97)=Budget!$G$4,Budget!$F$4+Budget!$H$4,0)</f>
        <v>0</v>
      </c>
      <c r="H97" s="17">
        <f>N("Mom Rent")-IF(DAY(A97)=Budget!$G$5,Budget!$F$5,0)</f>
        <v>0</v>
      </c>
      <c r="I97" s="17">
        <f>N("AT&amp;T")-IF(DAY(A97)=Budget!$G$8,Budget!$F$8,0)</f>
        <v>0</v>
      </c>
      <c r="J97" s="17">
        <f>N("GA Power")-IF(DAY(A97)=Budget!$G$9,Budget!$F$9,0)</f>
        <v>0</v>
      </c>
      <c r="K97" s="17">
        <f>N("Haircut")-IF(DAY(A97)=Budget!$G$10,Budget!$F$10,0)</f>
        <v>0</v>
      </c>
      <c r="L97" s="17">
        <f>N("Groceries")-IF(DAY(A97)=Budget!$G$6,Budget!$F$6,0)</f>
        <v>0</v>
      </c>
      <c r="M97" s="17">
        <f>N("Savings")-IF(DAY(A97)=Budget!$G$7,Budget!$F$7,0)</f>
        <v>0</v>
      </c>
      <c r="N97" s="17">
        <f>N("Car Insurance")-COUNTIF(Budget!$G$14, A97)*Budget!$F$14</f>
        <v>0</v>
      </c>
      <c r="O97" s="17">
        <f>N("Phone Bill")-COUNTIF(Budget!$G$15, A97)*Budget!$F$15</f>
        <v>0</v>
      </c>
      <c r="Q97" s="17">
        <f>N("Spotify")-IF(AND(DAY($A97)=Budget!$M$3, MONTH($A97)=Budget!$L$3),Budget!$K$3,0)</f>
        <v>0</v>
      </c>
      <c r="R97" s="17">
        <f>N("Spotify")-IF(AND(DAY($A97)=Budget!$M$4, MONTH($A97)=Budget!$L$4),Budget!$K$4,0)</f>
        <v>0</v>
      </c>
      <c r="S97" s="17">
        <f>N("Spotify")-IF(AND(DAY($A97)=Budget!$M$5, MONTH($A97)=Budget!$L$5),Budget!$K$5,0)</f>
        <v>0</v>
      </c>
      <c r="T97" s="17">
        <f>N("Amazon Prime")-IF(DAY(A97)=Budget!$Q$3,Budget!$P$3,0)</f>
        <v>0</v>
      </c>
      <c r="U97" s="17">
        <f>N("Audible")-IF(DAY(A97)=Budget!$Q$12,Budget!$P$12,0)</f>
        <v>0</v>
      </c>
      <c r="V97" s="17">
        <f>N("Crunchyroll")-IF(DAY(A97)=Budget!$Q$5,Budget!$P$5,0)</f>
        <v>-24.6</v>
      </c>
      <c r="W97" s="17">
        <f>N("HBO Max")-IF(DAY(A97)=Budget!$Q$6,Budget!$P$6,0)</f>
        <v>0</v>
      </c>
      <c r="X97" s="17">
        <f>N("Netflix")-IF(DAY(A97)=Budget!$Q$7,Budget!$P$7,0)</f>
        <v>0</v>
      </c>
      <c r="Y97" s="17">
        <f>N("Spotify")-IF(DAY(A97)=Budget!$Q$8,Budget!$P$8,0)</f>
        <v>0</v>
      </c>
      <c r="Z97" s="17">
        <f>N("Truebill")-IF(DAY(A97)=Budget!$Q$9,Budget!$P$9,0)</f>
        <v>0</v>
      </c>
      <c r="AA97" s="6">
        <f t="shared" si="8"/>
        <v>-24.6</v>
      </c>
    </row>
    <row r="98" spans="1:30" x14ac:dyDescent="0.3">
      <c r="A98" s="4">
        <f t="shared" si="10"/>
        <v>45746</v>
      </c>
      <c r="B98" s="2">
        <f t="shared" si="9"/>
        <v>4763.3999999999996</v>
      </c>
      <c r="C98" s="7">
        <f>IF(B98&gt;B97,2,IF(B98=B97, 1,0))</f>
        <v>1</v>
      </c>
      <c r="D98" s="1">
        <v>0</v>
      </c>
      <c r="E98" s="17">
        <f>N("PAY-LM")+IF(WEEKDAY(A98)=Budget!$C$3,Budget!$B$3,0)</f>
        <v>0</v>
      </c>
      <c r="F98" s="17">
        <f>N("Rent")-IF(DAY(A98)=Budget!$G$3,Budget!$F$3,0)</f>
        <v>0</v>
      </c>
      <c r="G98" s="17">
        <f>N("Car")-IF(DAY(A98)=Budget!$G$4,Budget!$F$4+Budget!$H$4,0)</f>
        <v>0</v>
      </c>
      <c r="H98" s="17">
        <f>N("Mom Rent")-IF(DAY(A98)=Budget!$G$5,Budget!$F$5,0)</f>
        <v>0</v>
      </c>
      <c r="I98" s="17">
        <f>N("AT&amp;T")-IF(DAY(A98)=Budget!$G$8,Budget!$F$8,0)</f>
        <v>0</v>
      </c>
      <c r="J98" s="17">
        <f>N("GA Power")-IF(DAY(A98)=Budget!$G$9,Budget!$F$9,0)</f>
        <v>0</v>
      </c>
      <c r="K98" s="17">
        <f>N("Haircut")-IF(DAY(A98)=Budget!$G$10,Budget!$F$10,0)</f>
        <v>0</v>
      </c>
      <c r="L98" s="17">
        <f>N("Groceries")-IF(DAY(A98)=Budget!$G$6,Budget!$F$6,0)</f>
        <v>0</v>
      </c>
      <c r="M98" s="17">
        <f>N("Savings")-IF(DAY(A98)=Budget!$G$7,Budget!$F$7,0)</f>
        <v>0</v>
      </c>
      <c r="N98" s="17">
        <f>N("Car Insurance")-COUNTIF(Budget!$G$14, A98)*Budget!$F$14</f>
        <v>0</v>
      </c>
      <c r="O98" s="17">
        <f>N("Phone Bill")-COUNTIF(Budget!$G$15, A98)*Budget!$F$15</f>
        <v>0</v>
      </c>
      <c r="Q98" s="17">
        <f>N("Spotify")-IF(AND(DAY($A98)=Budget!$M$3, MONTH($A98)=Budget!$L$3),Budget!$K$3,0)</f>
        <v>0</v>
      </c>
      <c r="R98" s="17">
        <f>N("Spotify")-IF(AND(DAY($A98)=Budget!$M$4, MONTH($A98)=Budget!$L$4),Budget!$K$4,0)</f>
        <v>0</v>
      </c>
      <c r="S98" s="17">
        <f>N("Spotify")-IF(AND(DAY($A98)=Budget!$M$5, MONTH($A98)=Budget!$L$5),Budget!$K$5,0)</f>
        <v>0</v>
      </c>
      <c r="T98" s="17">
        <f>N("Amazon Prime")-IF(DAY(A98)=Budget!$Q$3,Budget!$P$3,0)</f>
        <v>0</v>
      </c>
      <c r="U98" s="17">
        <f>N("Audible")-IF(DAY(A98)=Budget!$Q$12,Budget!$P$12,0)</f>
        <v>0</v>
      </c>
      <c r="V98" s="17">
        <f>N("Crunchyroll")-IF(DAY(A98)=Budget!$Q$5,Budget!$P$5,0)</f>
        <v>0</v>
      </c>
      <c r="W98" s="17">
        <f>N("HBO Max")-IF(DAY(A98)=Budget!$Q$6,Budget!$P$6,0)</f>
        <v>0</v>
      </c>
      <c r="X98" s="17">
        <f>N("Netflix")-IF(DAY(A98)=Budget!$Q$7,Budget!$P$7,0)</f>
        <v>0</v>
      </c>
      <c r="Y98" s="17">
        <f>N("Spotify")-IF(DAY(A98)=Budget!$Q$8,Budget!$P$8,0)</f>
        <v>0</v>
      </c>
      <c r="Z98" s="17">
        <f>N("Truebill")-IF(DAY(A98)=Budget!$Q$9,Budget!$P$9,0)</f>
        <v>0</v>
      </c>
      <c r="AA98" s="6">
        <f t="shared" si="8"/>
        <v>0</v>
      </c>
    </row>
    <row r="99" spans="1:30" x14ac:dyDescent="0.3">
      <c r="A99" s="4">
        <f t="shared" si="10"/>
        <v>45747</v>
      </c>
      <c r="B99" s="2">
        <f t="shared" si="9"/>
        <v>4763.3999999999996</v>
      </c>
      <c r="C99" s="7">
        <f>IF(B99&gt;B98,2,IF(B99=B98, 1,0))</f>
        <v>1</v>
      </c>
      <c r="D99" s="1">
        <v>0</v>
      </c>
      <c r="E99" s="17">
        <f>N("PAY-LM")+IF(WEEKDAY(A99)=Budget!$C$3,Budget!$B$3,0)</f>
        <v>0</v>
      </c>
      <c r="F99" s="17">
        <f>N("Rent")-IF(DAY(A99)=Budget!$G$3,Budget!$F$3,0)</f>
        <v>0</v>
      </c>
      <c r="G99" s="17">
        <f>N("Car")-IF(DAY(A99)=Budget!$G$4,Budget!$F$4+Budget!$H$4,0)</f>
        <v>0</v>
      </c>
      <c r="H99" s="17">
        <f>N("Mom Rent")-IF(DAY(A99)=Budget!$G$5,Budget!$F$5,0)</f>
        <v>0</v>
      </c>
      <c r="I99" s="17">
        <f>N("AT&amp;T")-IF(DAY(A99)=Budget!$G$8,Budget!$F$8,0)</f>
        <v>0</v>
      </c>
      <c r="J99" s="17">
        <f>N("GA Power")-IF(DAY(A99)=Budget!$G$9,Budget!$F$9,0)</f>
        <v>0</v>
      </c>
      <c r="K99" s="17">
        <f>N("Haircut")-IF(DAY(A99)=Budget!$G$10,Budget!$F$10,0)</f>
        <v>0</v>
      </c>
      <c r="L99" s="17">
        <f>N("Groceries")-IF(DAY(A99)=Budget!$G$6,Budget!$F$6,0)</f>
        <v>0</v>
      </c>
      <c r="M99" s="17">
        <f>N("Savings")-IF(DAY(A99)=Budget!$G$7,Budget!$F$7,0)</f>
        <v>0</v>
      </c>
      <c r="N99" s="17">
        <f>N("Car Insurance")-COUNTIF(Budget!$G$14, A99)*Budget!$F$14</f>
        <v>0</v>
      </c>
      <c r="O99" s="17">
        <f>N("Phone Bill")-COUNTIF(Budget!$G$15, A99)*Budget!$F$15</f>
        <v>0</v>
      </c>
      <c r="Q99" s="17">
        <f>N("Spotify")-IF(AND(DAY($A99)=Budget!$M$3, MONTH($A99)=Budget!$L$3),Budget!$K$3,0)</f>
        <v>0</v>
      </c>
      <c r="R99" s="17">
        <f>N("Spotify")-IF(AND(DAY($A99)=Budget!$M$4, MONTH($A99)=Budget!$L$4),Budget!$K$4,0)</f>
        <v>0</v>
      </c>
      <c r="S99" s="17">
        <f>N("Spotify")-IF(AND(DAY($A99)=Budget!$M$5, MONTH($A99)=Budget!$L$5),Budget!$K$5,0)</f>
        <v>0</v>
      </c>
      <c r="T99" s="17">
        <f>N("Amazon Prime")-IF(DAY(A99)=Budget!$Q$3,Budget!$P$3,0)</f>
        <v>0</v>
      </c>
      <c r="U99" s="17">
        <f>N("Audible")-IF(DAY(A99)=Budget!$Q$12,Budget!$P$12,0)</f>
        <v>0</v>
      </c>
      <c r="V99" s="17">
        <f>N("Crunchyroll")-IF(DAY(A99)=Budget!$Q$5,Budget!$P$5,0)</f>
        <v>0</v>
      </c>
      <c r="W99" s="17">
        <f>N("HBO Max")-IF(DAY(A99)=Budget!$Q$6,Budget!$P$6,0)</f>
        <v>0</v>
      </c>
      <c r="X99" s="17">
        <f>N("Netflix")-IF(DAY(A99)=Budget!$Q$7,Budget!$P$7,0)</f>
        <v>0</v>
      </c>
      <c r="Y99" s="17">
        <f>N("Spotify")-IF(DAY(A99)=Budget!$Q$8,Budget!$P$8,0)</f>
        <v>0</v>
      </c>
      <c r="Z99" s="17">
        <f>N("Truebill")-IF(DAY(A99)=Budget!$Q$9,Budget!$P$9,0)</f>
        <v>0</v>
      </c>
      <c r="AA99" s="6">
        <f t="shared" si="8"/>
        <v>0</v>
      </c>
    </row>
    <row r="102" spans="1:30" x14ac:dyDescent="0.3">
      <c r="D102" s="40" t="s">
        <v>17</v>
      </c>
      <c r="E102" s="41" t="s">
        <v>15</v>
      </c>
      <c r="F102" s="41"/>
      <c r="G102" s="41"/>
      <c r="H102" s="41"/>
      <c r="I102" s="41"/>
      <c r="J102" s="41"/>
      <c r="K102" s="41"/>
      <c r="L102" s="41"/>
      <c r="M102" s="41"/>
      <c r="N102" s="42" t="str">
        <f>Budget!$E$12</f>
        <v>Annual Expenses</v>
      </c>
      <c r="O102" s="42"/>
      <c r="Q102" s="43" t="s">
        <v>36</v>
      </c>
      <c r="R102" s="43"/>
      <c r="S102" s="43"/>
      <c r="T102" s="41" t="s">
        <v>8</v>
      </c>
      <c r="U102" s="41"/>
      <c r="V102" s="41"/>
      <c r="W102" s="41"/>
      <c r="X102" s="41"/>
      <c r="Y102" s="41"/>
      <c r="Z102" s="41"/>
      <c r="AA102" s="10" t="s">
        <v>16</v>
      </c>
      <c r="AC102" s="6">
        <f>SUMIF(D104:Z133,"&lt;0")</f>
        <v>-5121.42</v>
      </c>
      <c r="AD102" s="6">
        <f>SUM(E104:E133)</f>
        <v>5812</v>
      </c>
    </row>
    <row r="103" spans="1:30" x14ac:dyDescent="0.3">
      <c r="A103" s="39">
        <f>EDATE(A68,1)</f>
        <v>45748</v>
      </c>
      <c r="B103" s="39"/>
      <c r="D103" s="40"/>
      <c r="E103" s="18" t="str">
        <f>Budget!$A$3</f>
        <v>PAY-LM</v>
      </c>
      <c r="F103" t="str">
        <f>Budget!$E$3</f>
        <v>Rent</v>
      </c>
      <c r="G103" t="str">
        <f>Budget!$E$4</f>
        <v>Car</v>
      </c>
      <c r="H103" t="str">
        <f>Budget!$E$5</f>
        <v>Mom Rent</v>
      </c>
      <c r="I103" t="str">
        <f>Budget!$E$8</f>
        <v>AT&amp;T</v>
      </c>
      <c r="J103" t="str">
        <f>Budget!$E$9</f>
        <v>GA Power</v>
      </c>
      <c r="K103" t="str">
        <f>Budget!$E$10</f>
        <v>TH</v>
      </c>
      <c r="L103" t="str">
        <f>Budget!$E$6</f>
        <v>Groceries</v>
      </c>
      <c r="M103" s="16" t="str">
        <f>Budget!$E$7</f>
        <v>Savings</v>
      </c>
      <c r="N103" t="str">
        <f>Budget!$E$14</f>
        <v>Car Insurance</v>
      </c>
      <c r="O103" t="str">
        <f>Budget!$E$15</f>
        <v>Phone Bill</v>
      </c>
      <c r="Q103" t="str">
        <f>Budget!$J$3</f>
        <v>Capital One</v>
      </c>
      <c r="R103" t="str">
        <f>Budget!$J$4</f>
        <v>Chase</v>
      </c>
      <c r="S103" t="str">
        <f>Budget!$J$5</f>
        <v>NFCU</v>
      </c>
      <c r="T103" t="str">
        <f>Budget!$O$3</f>
        <v>Amazon Prime</v>
      </c>
      <c r="U103" t="str">
        <f>Budget!$O$12</f>
        <v>Audible</v>
      </c>
      <c r="V103" t="str">
        <f>Budget!$O$5</f>
        <v>Netflix</v>
      </c>
      <c r="W103" t="str">
        <f>Budget!$O$6</f>
        <v>Spotify</v>
      </c>
      <c r="X103" t="str">
        <f>Budget!$O$7</f>
        <v>Rocket Money</v>
      </c>
      <c r="Y103" t="str">
        <f>Budget!$O$8</f>
        <v>Little4Much</v>
      </c>
      <c r="Z103" t="str">
        <f>Budget!$O$9</f>
        <v>None</v>
      </c>
      <c r="AA103" s="10"/>
      <c r="AC103" s="3">
        <f>AD102+AC102</f>
        <v>690.57999999999993</v>
      </c>
    </row>
    <row r="104" spans="1:30" x14ac:dyDescent="0.3">
      <c r="A104" s="4">
        <f>A103</f>
        <v>45748</v>
      </c>
      <c r="B104" s="2">
        <f>B99+AA104</f>
        <v>3030.3999999999996</v>
      </c>
      <c r="C104" s="7">
        <f>IF(B104&gt;B99,2,IF(B104=B99, 1,0))</f>
        <v>0</v>
      </c>
      <c r="D104" s="1">
        <v>0</v>
      </c>
      <c r="E104" s="17">
        <f>N("PAY-LM")+IF(WEEKDAY(A104)=Budget!$C$3,Budget!$B$3,0)</f>
        <v>0</v>
      </c>
      <c r="F104" s="17">
        <f>N("Rent")-IF(DAY(A104)=Budget!$G$3,Budget!$F$3,0)</f>
        <v>-1733</v>
      </c>
      <c r="G104" s="17">
        <f>N("Car")-IF(DAY(A104)=Budget!$G$4,Budget!$F$4+Budget!$H$4,0)</f>
        <v>0</v>
      </c>
      <c r="H104" s="17">
        <f>N("Mom Rent")-IF(DAY(A104)=Budget!$G$5,Budget!$F$5,0)</f>
        <v>0</v>
      </c>
      <c r="I104" s="17">
        <f>N("AT&amp;T")-IF(DAY(A104)=Budget!$G$8,Budget!$F$8,0)</f>
        <v>0</v>
      </c>
      <c r="J104" s="17">
        <f>N("GA Power")-IF(DAY(A104)=Budget!$G$9,Budget!$F$9,0)</f>
        <v>0</v>
      </c>
      <c r="K104" s="17">
        <f>N("Haircut")-IF(DAY(A104)=Budget!$G$10,Budget!$F$10,0)</f>
        <v>0</v>
      </c>
      <c r="L104" s="17">
        <f>N("Groceries")-IF(DAY(A104)=Budget!$G$6,Budget!$F$6,0)</f>
        <v>0</v>
      </c>
      <c r="M104" s="17">
        <f>N("Savings")-IF(DAY(A104)=Budget!$G$7,Budget!$F$7,0)</f>
        <v>0</v>
      </c>
      <c r="N104" s="17">
        <f>N("Car Insurance")-COUNTIF(Budget!$G$14, A104)*Budget!$F$14</f>
        <v>0</v>
      </c>
      <c r="O104" s="17">
        <f>N("Phone Bill")-COUNTIF(Budget!$G$15, A104)*Budget!$F$15</f>
        <v>0</v>
      </c>
      <c r="Q104" s="17">
        <f>N("Spotify")-IF(AND(DAY($A104)=Budget!$M$3, MONTH($A104)=Budget!$L$3),Budget!$K$3,0)</f>
        <v>0</v>
      </c>
      <c r="R104" s="17">
        <f>N("Spotify")-IF(AND(DAY($A104)=Budget!$M$4, MONTH($A104)=Budget!$L$4),Budget!$K$4,0)</f>
        <v>0</v>
      </c>
      <c r="S104" s="17">
        <f>N("Spotify")-IF(AND(DAY($A104)=Budget!$M$5, MONTH($A104)=Budget!$L$5),Budget!$K$5,0)</f>
        <v>0</v>
      </c>
      <c r="T104" s="17">
        <f>N("Amazon Prime")-IF(DAY(A104)=Budget!$Q$3,Budget!$P$3,0)</f>
        <v>0</v>
      </c>
      <c r="U104" s="17">
        <f>N("Audible")-IF(DAY(A104)=Budget!$Q$12,Budget!$P$12,0)</f>
        <v>0</v>
      </c>
      <c r="V104" s="17">
        <f>N("Crunchyroll")-IF(DAY(A104)=Budget!$Q$5,Budget!$P$5,0)</f>
        <v>0</v>
      </c>
      <c r="W104" s="17">
        <f>N("HBO Max")-IF(DAY(A104)=Budget!$Q$6,Budget!$P$6,0)</f>
        <v>0</v>
      </c>
      <c r="X104" s="17">
        <f>N("Netflix")-IF(DAY(A104)=Budget!$Q$7,Budget!$P$7,0)</f>
        <v>0</v>
      </c>
      <c r="Y104" s="17">
        <f>N("Spotify")-IF(DAY(A104)=Budget!$Q$8,Budget!$P$8,0)</f>
        <v>0</v>
      </c>
      <c r="Z104" s="17">
        <f>N("Truebill")-IF(DAY(A104)=Budget!$Q$9,Budget!$P$9,0)</f>
        <v>0</v>
      </c>
      <c r="AA104" s="6">
        <f t="shared" ref="AA104:AA133" si="12">SUM(D104:Z104)</f>
        <v>-1733</v>
      </c>
    </row>
    <row r="105" spans="1:30" x14ac:dyDescent="0.3">
      <c r="A105" s="4">
        <f>A104+1</f>
        <v>45749</v>
      </c>
      <c r="B105" s="2">
        <f t="shared" ref="B105:B133" si="13">B104+AA105</f>
        <v>2227.0499999999997</v>
      </c>
      <c r="C105" s="7">
        <f>IF(B105&gt;B104,2,IF(B105=B104, 1,0))</f>
        <v>0</v>
      </c>
      <c r="D105" s="1">
        <v>0</v>
      </c>
      <c r="E105" s="17">
        <f>N("PAY-LM")+IF(WEEKDAY(A105)=Budget!$C$3,Budget!$B$3,0)</f>
        <v>0</v>
      </c>
      <c r="F105" s="17">
        <f>N("Rent")-IF(DAY(A105)=Budget!$G$3,Budget!$F$3,0)</f>
        <v>0</v>
      </c>
      <c r="G105" s="17">
        <f>N("Car")-IF(DAY(A105)=Budget!$G$4,Budget!$F$4+Budget!$H$4,0)</f>
        <v>-503.35</v>
      </c>
      <c r="H105" s="17">
        <f>N("Mom Rent")-IF(DAY(A105)=Budget!$G$5,Budget!$F$5,0)</f>
        <v>0</v>
      </c>
      <c r="I105" s="17">
        <f>N("AT&amp;T")-IF(DAY(A105)=Budget!$G$8,Budget!$F$8,0)</f>
        <v>0</v>
      </c>
      <c r="J105" s="17">
        <f>N("GA Power")-IF(DAY(A105)=Budget!$G$9,Budget!$F$9,0)</f>
        <v>0</v>
      </c>
      <c r="K105" s="17">
        <f>N("Haircut")-IF(DAY(A105)=Budget!$G$10,Budget!$F$10,0)</f>
        <v>0</v>
      </c>
      <c r="L105" s="17">
        <f>N("Groceries")-IF(DAY(A105)=Budget!$G$6,Budget!$F$6,0)</f>
        <v>-300</v>
      </c>
      <c r="M105" s="17">
        <f>N("Savings")-IF(DAY(A105)=Budget!$G$7,Budget!$F$7,0)</f>
        <v>0</v>
      </c>
      <c r="N105" s="17">
        <f>N("Car Insurance")-COUNTIF(Budget!$G$14, A105)*Budget!$F$14</f>
        <v>0</v>
      </c>
      <c r="O105" s="17">
        <f>N("Phone Bill")-COUNTIF(Budget!$G$15, A105)*Budget!$F$15</f>
        <v>0</v>
      </c>
      <c r="Q105" s="17">
        <f>N("Spotify")-IF(AND(DAY($A105)=Budget!$M$3, MONTH($A105)=Budget!$L$3),Budget!$K$3,0)</f>
        <v>0</v>
      </c>
      <c r="R105" s="17">
        <f>N("Spotify")-IF(AND(DAY($A105)=Budget!$M$4, MONTH($A105)=Budget!$L$4),Budget!$K$4,0)</f>
        <v>0</v>
      </c>
      <c r="S105" s="17">
        <f>N("Spotify")-IF(AND(DAY($A105)=Budget!$M$5, MONTH($A105)=Budget!$L$5),Budget!$K$5,0)</f>
        <v>0</v>
      </c>
      <c r="T105" s="17">
        <f>N("Amazon Prime")-IF(DAY(A105)=Budget!$Q$3,Budget!$P$3,0)</f>
        <v>0</v>
      </c>
      <c r="U105" s="17">
        <f>N("Audible")-IF(DAY(A105)=Budget!$Q$12,Budget!$P$12,0)</f>
        <v>0</v>
      </c>
      <c r="V105" s="17">
        <f>N("Crunchyroll")-IF(DAY(A105)=Budget!$Q$5,Budget!$P$5,0)</f>
        <v>0</v>
      </c>
      <c r="W105" s="17">
        <f>N("HBO Max")-IF(DAY(A105)=Budget!$Q$6,Budget!$P$6,0)</f>
        <v>0</v>
      </c>
      <c r="X105" s="17">
        <f>N("Netflix")-IF(DAY(A105)=Budget!$Q$7,Budget!$P$7,0)</f>
        <v>0</v>
      </c>
      <c r="Y105" s="17">
        <f>N("Spotify")-IF(DAY(A105)=Budget!$Q$8,Budget!$P$8,0)</f>
        <v>0</v>
      </c>
      <c r="Z105" s="17">
        <f>N("Truebill")-IF(DAY(A105)=Budget!$Q$9,Budget!$P$9,0)</f>
        <v>0</v>
      </c>
      <c r="AA105" s="6">
        <f t="shared" si="12"/>
        <v>-803.35</v>
      </c>
    </row>
    <row r="106" spans="1:30" x14ac:dyDescent="0.3">
      <c r="A106" s="4">
        <f t="shared" ref="A106:A133" si="14">A105+1</f>
        <v>45750</v>
      </c>
      <c r="B106" s="2">
        <f t="shared" si="13"/>
        <v>2227.0499999999997</v>
      </c>
      <c r="C106" s="7">
        <f t="shared" ref="C106:C131" si="15">IF(B106&gt;B105,2,IF(B106=B105, 1,0))</f>
        <v>1</v>
      </c>
      <c r="D106" s="1">
        <v>0</v>
      </c>
      <c r="E106" s="17">
        <f>N("PAY-LM")+IF(WEEKDAY(A106)=Budget!$C$3,Budget!$B$3,0)</f>
        <v>0</v>
      </c>
      <c r="F106" s="17">
        <f>N("Rent")-IF(DAY(A106)=Budget!$G$3,Budget!$F$3,0)</f>
        <v>0</v>
      </c>
      <c r="G106" s="17">
        <f>N("Car")-IF(DAY(A106)=Budget!$G$4,Budget!$F$4+Budget!$H$4,0)</f>
        <v>0</v>
      </c>
      <c r="H106" s="17">
        <f>N("Mom Rent")-IF(DAY(A106)=Budget!$G$5,Budget!$F$5,0)</f>
        <v>0</v>
      </c>
      <c r="I106" s="17">
        <f>N("AT&amp;T")-IF(DAY(A106)=Budget!$G$8,Budget!$F$8,0)</f>
        <v>0</v>
      </c>
      <c r="J106" s="17">
        <f>N("GA Power")-IF(DAY(A106)=Budget!$G$9,Budget!$F$9,0)</f>
        <v>0</v>
      </c>
      <c r="K106" s="17">
        <f>N("Haircut")-IF(DAY(A106)=Budget!$G$10,Budget!$F$10,0)</f>
        <v>0</v>
      </c>
      <c r="L106" s="17">
        <f>N("Groceries")-IF(DAY(A106)=Budget!$G$6,Budget!$F$6,0)</f>
        <v>0</v>
      </c>
      <c r="M106" s="17">
        <f>N("Savings")-IF(DAY(A106)=Budget!$G$7,Budget!$F$7,0)</f>
        <v>0</v>
      </c>
      <c r="N106" s="17">
        <f>N("Car Insurance")-COUNTIF(Budget!$G$14, A106)*Budget!$F$14</f>
        <v>0</v>
      </c>
      <c r="O106" s="17">
        <f>N("Phone Bill")-COUNTIF(Budget!$G$15, A106)*Budget!$F$15</f>
        <v>0</v>
      </c>
      <c r="Q106" s="17">
        <f>N("Spotify")-IF(AND(DAY($A106)=Budget!$M$3, MONTH($A106)=Budget!$L$3),Budget!$K$3,0)</f>
        <v>0</v>
      </c>
      <c r="R106" s="17">
        <f>N("Spotify")-IF(AND(DAY($A106)=Budget!$M$4, MONTH($A106)=Budget!$L$4),Budget!$K$4,0)</f>
        <v>0</v>
      </c>
      <c r="S106" s="17">
        <f>N("Spotify")-IF(AND(DAY($A106)=Budget!$M$5, MONTH($A106)=Budget!$L$5),Budget!$K$5,0)</f>
        <v>0</v>
      </c>
      <c r="T106" s="17">
        <f>N("Amazon Prime")-IF(DAY(A106)=Budget!$Q$3,Budget!$P$3,0)</f>
        <v>0</v>
      </c>
      <c r="U106" s="17">
        <f>N("Audible")-IF(DAY(A106)=Budget!$Q$12,Budget!$P$12,0)</f>
        <v>0</v>
      </c>
      <c r="V106" s="17">
        <f>N("Crunchyroll")-IF(DAY(A106)=Budget!$Q$5,Budget!$P$5,0)</f>
        <v>0</v>
      </c>
      <c r="W106" s="17">
        <f>N("HBO Max")-IF(DAY(A106)=Budget!$Q$6,Budget!$P$6,0)</f>
        <v>0</v>
      </c>
      <c r="X106" s="17">
        <f>N("Netflix")-IF(DAY(A106)=Budget!$Q$7,Budget!$P$7,0)</f>
        <v>0</v>
      </c>
      <c r="Y106" s="17">
        <f>N("Spotify")-IF(DAY(A106)=Budget!$Q$8,Budget!$P$8,0)</f>
        <v>0</v>
      </c>
      <c r="Z106" s="17">
        <f>N("Truebill")-IF(DAY(A106)=Budget!$Q$9,Budget!$P$9,0)</f>
        <v>0</v>
      </c>
      <c r="AA106" s="6">
        <f t="shared" si="12"/>
        <v>0</v>
      </c>
    </row>
    <row r="107" spans="1:30" x14ac:dyDescent="0.3">
      <c r="A107" s="4">
        <f t="shared" si="14"/>
        <v>45751</v>
      </c>
      <c r="B107" s="2">
        <f t="shared" si="13"/>
        <v>3680.0499999999997</v>
      </c>
      <c r="C107" s="7">
        <f t="shared" si="15"/>
        <v>2</v>
      </c>
      <c r="D107" s="1">
        <v>0</v>
      </c>
      <c r="E107" s="17">
        <f>N("PAY-LM")+IF(WEEKDAY(A107)=Budget!$C$3,Budget!$B$3,0)</f>
        <v>1453</v>
      </c>
      <c r="F107" s="17">
        <f>N("Rent")-IF(DAY(A107)=Budget!$G$3,Budget!$F$3,0)</f>
        <v>0</v>
      </c>
      <c r="G107" s="17">
        <f>N("Car")-IF(DAY(A107)=Budget!$G$4,Budget!$F$4+Budget!$H$4,0)</f>
        <v>0</v>
      </c>
      <c r="H107" s="17">
        <f>N("Mom Rent")-IF(DAY(A107)=Budget!$G$5,Budget!$F$5,0)</f>
        <v>0</v>
      </c>
      <c r="I107" s="17">
        <f>N("AT&amp;T")-IF(DAY(A107)=Budget!$G$8,Budget!$F$8,0)</f>
        <v>0</v>
      </c>
      <c r="J107" s="17">
        <f>N("GA Power")-IF(DAY(A107)=Budget!$G$9,Budget!$F$9,0)</f>
        <v>0</v>
      </c>
      <c r="K107" s="17">
        <f>N("Haircut")-IF(DAY(A107)=Budget!$G$10,Budget!$F$10,0)</f>
        <v>0</v>
      </c>
      <c r="L107" s="17">
        <f>N("Groceries")-IF(DAY(A107)=Budget!$G$6,Budget!$F$6,0)</f>
        <v>0</v>
      </c>
      <c r="M107" s="17">
        <f>N("Savings")-IF(DAY(A107)=Budget!$G$7,Budget!$F$7,0)</f>
        <v>0</v>
      </c>
      <c r="N107" s="17">
        <f>N("Car Insurance")-COUNTIF(Budget!$G$14, A107)*Budget!$F$14</f>
        <v>0</v>
      </c>
      <c r="O107" s="17">
        <f>N("Phone Bill")-COUNTIF(Budget!$G$15, A107)*Budget!$F$15</f>
        <v>0</v>
      </c>
      <c r="Q107" s="17">
        <f>N("Spotify")-IF(AND(DAY($A107)=Budget!$M$3, MONTH($A107)=Budget!$L$3),Budget!$K$3,0)</f>
        <v>0</v>
      </c>
      <c r="R107" s="17">
        <f>N("Spotify")-IF(AND(DAY($A107)=Budget!$M$4, MONTH($A107)=Budget!$L$4),Budget!$K$4,0)</f>
        <v>0</v>
      </c>
      <c r="S107" s="17">
        <f>N("Spotify")-IF(AND(DAY($A107)=Budget!$M$5, MONTH($A107)=Budget!$L$5),Budget!$K$5,0)</f>
        <v>0</v>
      </c>
      <c r="T107" s="17">
        <f>N("Amazon Prime")-IF(DAY(A107)=Budget!$Q$3,Budget!$P$3,0)</f>
        <v>0</v>
      </c>
      <c r="U107" s="17">
        <f>N("Audible")-IF(DAY(A107)=Budget!$Q$12,Budget!$P$12,0)</f>
        <v>0</v>
      </c>
      <c r="V107" s="17">
        <f>N("Crunchyroll")-IF(DAY(A107)=Budget!$Q$5,Budget!$P$5,0)</f>
        <v>0</v>
      </c>
      <c r="W107" s="17">
        <f>N("HBO Max")-IF(DAY(A107)=Budget!$Q$6,Budget!$P$6,0)</f>
        <v>0</v>
      </c>
      <c r="X107" s="17">
        <f>N("Netflix")-IF(DAY(A107)=Budget!$Q$7,Budget!$P$7,0)</f>
        <v>0</v>
      </c>
      <c r="Y107" s="17">
        <f>N("Spotify")-IF(DAY(A107)=Budget!$Q$8,Budget!$P$8,0)</f>
        <v>0</v>
      </c>
      <c r="Z107" s="17">
        <f>N("Truebill")-IF(DAY(A107)=Budget!$Q$9,Budget!$P$9,0)</f>
        <v>0</v>
      </c>
      <c r="AA107" s="6">
        <f t="shared" si="12"/>
        <v>1453</v>
      </c>
    </row>
    <row r="108" spans="1:30" x14ac:dyDescent="0.3">
      <c r="A108" s="4">
        <f t="shared" si="14"/>
        <v>45752</v>
      </c>
      <c r="B108" s="2">
        <f t="shared" si="13"/>
        <v>3610.0499999999997</v>
      </c>
      <c r="C108" s="7">
        <f t="shared" si="15"/>
        <v>0</v>
      </c>
      <c r="D108" s="1">
        <v>0</v>
      </c>
      <c r="E108" s="17">
        <f>N("PAY-LM")+IF(WEEKDAY(A108)=Budget!$C$3,Budget!$B$3,0)</f>
        <v>0</v>
      </c>
      <c r="F108" s="17">
        <f>N("Rent")-IF(DAY(A108)=Budget!$G$3,Budget!$F$3,0)</f>
        <v>0</v>
      </c>
      <c r="G108" s="17">
        <f>N("Car")-IF(DAY(A108)=Budget!$G$4,Budget!$F$4+Budget!$H$4,0)</f>
        <v>0</v>
      </c>
      <c r="H108" s="17">
        <f>N("Mom Rent")-IF(DAY(A108)=Budget!$G$5,Budget!$F$5,0)</f>
        <v>0</v>
      </c>
      <c r="I108" s="17">
        <f>N("AT&amp;T")-IF(DAY(A108)=Budget!$G$8,Budget!$F$8,0)</f>
        <v>0</v>
      </c>
      <c r="J108" s="17">
        <f>N("GA Power")-IF(DAY(A108)=Budget!$G$9,Budget!$F$9,0)</f>
        <v>-70</v>
      </c>
      <c r="K108" s="17">
        <f>N("Haircut")-IF(DAY(A108)=Budget!$G$10,Budget!$F$10,0)</f>
        <v>0</v>
      </c>
      <c r="L108" s="17">
        <f>N("Groceries")-IF(DAY(A108)=Budget!$G$6,Budget!$F$6,0)</f>
        <v>0</v>
      </c>
      <c r="M108" s="17">
        <f>N("Savings")-IF(DAY(A108)=Budget!$G$7,Budget!$F$7,0)</f>
        <v>0</v>
      </c>
      <c r="N108" s="17">
        <f>N("Car Insurance")-COUNTIF(Budget!$G$14, A108)*Budget!$F$14</f>
        <v>0</v>
      </c>
      <c r="O108" s="17">
        <f>N("Phone Bill")-COUNTIF(Budget!$G$15, A108)*Budget!$F$15</f>
        <v>0</v>
      </c>
      <c r="Q108" s="17">
        <f>N("Spotify")-IF(AND(DAY($A108)=Budget!$M$3, MONTH($A108)=Budget!$L$3),Budget!$K$3,0)</f>
        <v>0</v>
      </c>
      <c r="R108" s="17">
        <f>N("Spotify")-IF(AND(DAY($A108)=Budget!$M$4, MONTH($A108)=Budget!$L$4),Budget!$K$4,0)</f>
        <v>0</v>
      </c>
      <c r="S108" s="17">
        <f>N("Spotify")-IF(AND(DAY($A108)=Budget!$M$5, MONTH($A108)=Budget!$L$5),Budget!$K$5,0)</f>
        <v>0</v>
      </c>
      <c r="T108" s="17">
        <f>N("Amazon Prime")-IF(DAY(A108)=Budget!$Q$3,Budget!$P$3,0)</f>
        <v>0</v>
      </c>
      <c r="U108" s="17">
        <f>N("Audible")-IF(DAY(A108)=Budget!$Q$12,Budget!$P$12,0)</f>
        <v>0</v>
      </c>
      <c r="V108" s="17">
        <f>N("Crunchyroll")-IF(DAY(A108)=Budget!$Q$5,Budget!$P$5,0)</f>
        <v>0</v>
      </c>
      <c r="W108" s="17">
        <f>N("HBO Max")-IF(DAY(A108)=Budget!$Q$6,Budget!$P$6,0)</f>
        <v>0</v>
      </c>
      <c r="X108" s="17">
        <f>N("Netflix")-IF(DAY(A108)=Budget!$Q$7,Budget!$P$7,0)</f>
        <v>0</v>
      </c>
      <c r="Y108" s="17">
        <f>N("Spotify")-IF(DAY(A108)=Budget!$Q$8,Budget!$P$8,0)</f>
        <v>0</v>
      </c>
      <c r="Z108" s="17">
        <f>N("Truebill")-IF(DAY(A108)=Budget!$Q$9,Budget!$P$9,0)</f>
        <v>0</v>
      </c>
      <c r="AA108" s="6">
        <f t="shared" si="12"/>
        <v>-70</v>
      </c>
    </row>
    <row r="109" spans="1:30" x14ac:dyDescent="0.3">
      <c r="A109" s="4">
        <f t="shared" si="14"/>
        <v>45753</v>
      </c>
      <c r="B109" s="2">
        <f t="shared" si="13"/>
        <v>3610.0499999999997</v>
      </c>
      <c r="C109" s="7">
        <f t="shared" si="15"/>
        <v>1</v>
      </c>
      <c r="D109" s="1">
        <v>0</v>
      </c>
      <c r="E109" s="17">
        <f>N("PAY-LM")+IF(WEEKDAY(A109)=Budget!$C$3,Budget!$B$3,0)</f>
        <v>0</v>
      </c>
      <c r="F109" s="17">
        <f>N("Rent")-IF(DAY(A109)=Budget!$G$3,Budget!$F$3,0)</f>
        <v>0</v>
      </c>
      <c r="G109" s="17">
        <f>N("Car")-IF(DAY(A109)=Budget!$G$4,Budget!$F$4+Budget!$H$4,0)</f>
        <v>0</v>
      </c>
      <c r="H109" s="17">
        <f>N("Mom Rent")-IF(DAY(A109)=Budget!$G$5,Budget!$F$5,0)</f>
        <v>0</v>
      </c>
      <c r="I109" s="17">
        <f>N("AT&amp;T")-IF(DAY(A109)=Budget!$G$8,Budget!$F$8,0)</f>
        <v>0</v>
      </c>
      <c r="J109" s="17">
        <f>N("GA Power")-IF(DAY(A109)=Budget!$G$9,Budget!$F$9,0)</f>
        <v>0</v>
      </c>
      <c r="K109" s="17">
        <f>N("Haircut")-IF(DAY(A109)=Budget!$G$10,Budget!$F$10,0)</f>
        <v>0</v>
      </c>
      <c r="L109" s="17">
        <f>N("Groceries")-IF(DAY(A109)=Budget!$G$6,Budget!$F$6,0)</f>
        <v>0</v>
      </c>
      <c r="M109" s="17">
        <f>N("Savings")-IF(DAY(A109)=Budget!$G$7,Budget!$F$7,0)</f>
        <v>0</v>
      </c>
      <c r="N109" s="17">
        <f>N("Car Insurance")-COUNTIF(Budget!$G$14, A109)*Budget!$F$14</f>
        <v>0</v>
      </c>
      <c r="O109" s="17">
        <f>N("Phone Bill")-COUNTIF(Budget!$G$15, A109)*Budget!$F$15</f>
        <v>0</v>
      </c>
      <c r="Q109" s="17">
        <f>N("Spotify")-IF(AND(DAY($A109)=Budget!$M$3, MONTH($A109)=Budget!$L$3),Budget!$K$3,0)</f>
        <v>0</v>
      </c>
      <c r="R109" s="17">
        <f>N("Spotify")-IF(AND(DAY($A109)=Budget!$M$4, MONTH($A109)=Budget!$L$4),Budget!$K$4,0)</f>
        <v>0</v>
      </c>
      <c r="S109" s="17">
        <f>N("Spotify")-IF(AND(DAY($A109)=Budget!$M$5, MONTH($A109)=Budget!$L$5),Budget!$K$5,0)</f>
        <v>0</v>
      </c>
      <c r="T109" s="17">
        <f>N("Amazon Prime")-IF(DAY(A109)=Budget!$Q$3,Budget!$P$3,0)</f>
        <v>0</v>
      </c>
      <c r="U109" s="17">
        <f>N("Audible")-IF(DAY(A109)=Budget!$Q$12,Budget!$P$12,0)</f>
        <v>0</v>
      </c>
      <c r="V109" s="17">
        <f>N("Crunchyroll")-IF(DAY(A109)=Budget!$Q$5,Budget!$P$5,0)</f>
        <v>0</v>
      </c>
      <c r="W109" s="17">
        <f>N("HBO Max")-IF(DAY(A109)=Budget!$Q$6,Budget!$P$6,0)</f>
        <v>0</v>
      </c>
      <c r="X109" s="17">
        <f>N("Netflix")-IF(DAY(A109)=Budget!$Q$7,Budget!$P$7,0)</f>
        <v>0</v>
      </c>
      <c r="Y109" s="17">
        <f>N("Spotify")-IF(DAY(A109)=Budget!$Q$8,Budget!$P$8,0)</f>
        <v>0</v>
      </c>
      <c r="Z109" s="17">
        <f>N("Truebill")-IF(DAY(A109)=Budget!$Q$9,Budget!$P$9,0)</f>
        <v>0</v>
      </c>
      <c r="AA109" s="6">
        <f t="shared" si="12"/>
        <v>0</v>
      </c>
    </row>
    <row r="110" spans="1:30" x14ac:dyDescent="0.3">
      <c r="A110" s="4">
        <f t="shared" si="14"/>
        <v>45754</v>
      </c>
      <c r="B110" s="2">
        <f t="shared" si="13"/>
        <v>3610.0499999999997</v>
      </c>
      <c r="C110" s="7">
        <f t="shared" si="15"/>
        <v>1</v>
      </c>
      <c r="D110" s="1">
        <v>0</v>
      </c>
      <c r="E110" s="17">
        <f>N("PAY-LM")+IF(WEEKDAY(A110)=Budget!$C$3,Budget!$B$3,0)</f>
        <v>0</v>
      </c>
      <c r="F110" s="17">
        <f>N("Rent")-IF(DAY(A110)=Budget!$G$3,Budget!$F$3,0)</f>
        <v>0</v>
      </c>
      <c r="G110" s="17">
        <f>N("Car")-IF(DAY(A110)=Budget!$G$4,Budget!$F$4+Budget!$H$4,0)</f>
        <v>0</v>
      </c>
      <c r="H110" s="17">
        <f>N("Mom Rent")-IF(DAY(A110)=Budget!$G$5,Budget!$F$5,0)</f>
        <v>0</v>
      </c>
      <c r="I110" s="17">
        <f>N("AT&amp;T")-IF(DAY(A110)=Budget!$G$8,Budget!$F$8,0)</f>
        <v>0</v>
      </c>
      <c r="J110" s="17">
        <f>N("GA Power")-IF(DAY(A110)=Budget!$G$9,Budget!$F$9,0)</f>
        <v>0</v>
      </c>
      <c r="K110" s="17">
        <f>N("Haircut")-IF(DAY(A110)=Budget!$G$10,Budget!$F$10,0)</f>
        <v>0</v>
      </c>
      <c r="L110" s="17">
        <f>N("Groceries")-IF(DAY(A110)=Budget!$G$6,Budget!$F$6,0)</f>
        <v>0</v>
      </c>
      <c r="M110" s="17">
        <f>N("Savings")-IF(DAY(A110)=Budget!$G$7,Budget!$F$7,0)</f>
        <v>0</v>
      </c>
      <c r="N110" s="17">
        <f>N("Car Insurance")-COUNTIF(Budget!$G$14, A110)*Budget!$F$14</f>
        <v>0</v>
      </c>
      <c r="O110" s="17">
        <f>N("Phone Bill")-COUNTIF(Budget!$G$15, A110)*Budget!$F$15</f>
        <v>0</v>
      </c>
      <c r="Q110" s="17">
        <f>N("Spotify")-IF(AND(DAY($A110)=Budget!$M$3, MONTH($A110)=Budget!$L$3),Budget!$K$3,0)</f>
        <v>0</v>
      </c>
      <c r="R110" s="17">
        <f>N("Spotify")-IF(AND(DAY($A110)=Budget!$M$4, MONTH($A110)=Budget!$L$4),Budget!$K$4,0)</f>
        <v>0</v>
      </c>
      <c r="S110" s="17">
        <f>N("Spotify")-IF(AND(DAY($A110)=Budget!$M$5, MONTH($A110)=Budget!$L$5),Budget!$K$5,0)</f>
        <v>0</v>
      </c>
      <c r="T110" s="17">
        <f>N("Amazon Prime")-IF(DAY(A110)=Budget!$Q$3,Budget!$P$3,0)</f>
        <v>0</v>
      </c>
      <c r="U110" s="17">
        <f>N("Audible")-IF(DAY(A110)=Budget!$Q$12,Budget!$P$12,0)</f>
        <v>0</v>
      </c>
      <c r="V110" s="17">
        <f>N("Crunchyroll")-IF(DAY(A110)=Budget!$Q$5,Budget!$P$5,0)</f>
        <v>0</v>
      </c>
      <c r="W110" s="17">
        <f>N("HBO Max")-IF(DAY(A110)=Budget!$Q$6,Budget!$P$6,0)</f>
        <v>0</v>
      </c>
      <c r="X110" s="17">
        <f>N("Netflix")-IF(DAY(A110)=Budget!$Q$7,Budget!$P$7,0)</f>
        <v>0</v>
      </c>
      <c r="Y110" s="17">
        <f>N("Spotify")-IF(DAY(A110)=Budget!$Q$8,Budget!$P$8,0)</f>
        <v>0</v>
      </c>
      <c r="Z110" s="17">
        <f>N("Truebill")-IF(DAY(A110)=Budget!$Q$9,Budget!$P$9,0)</f>
        <v>0</v>
      </c>
      <c r="AA110" s="6">
        <f t="shared" si="12"/>
        <v>0</v>
      </c>
    </row>
    <row r="111" spans="1:30" x14ac:dyDescent="0.3">
      <c r="A111" s="4">
        <f t="shared" si="14"/>
        <v>45755</v>
      </c>
      <c r="B111" s="2">
        <f t="shared" si="13"/>
        <v>3590.58</v>
      </c>
      <c r="C111" s="7">
        <f t="shared" si="15"/>
        <v>0</v>
      </c>
      <c r="D111" s="1">
        <v>0</v>
      </c>
      <c r="E111" s="17">
        <f>N("PAY-LM")+IF(WEEKDAY(A111)=Budget!$C$3,Budget!$B$3,0)</f>
        <v>0</v>
      </c>
      <c r="F111" s="17">
        <f>N("Rent")-IF(DAY(A111)=Budget!$G$3,Budget!$F$3,0)</f>
        <v>0</v>
      </c>
      <c r="G111" s="17">
        <f>N("Car")-IF(DAY(A111)=Budget!$G$4,Budget!$F$4+Budget!$H$4,0)</f>
        <v>0</v>
      </c>
      <c r="H111" s="17">
        <f>N("Mom Rent")-IF(DAY(A111)=Budget!$G$5,Budget!$F$5,0)</f>
        <v>0</v>
      </c>
      <c r="I111" s="17">
        <f>N("AT&amp;T")-IF(DAY(A111)=Budget!$G$8,Budget!$F$8,0)</f>
        <v>0</v>
      </c>
      <c r="J111" s="17">
        <f>N("GA Power")-IF(DAY(A111)=Budget!$G$9,Budget!$F$9,0)</f>
        <v>0</v>
      </c>
      <c r="K111" s="17">
        <f>N("Haircut")-IF(DAY(A111)=Budget!$G$10,Budget!$F$10,0)</f>
        <v>0</v>
      </c>
      <c r="L111" s="17">
        <f>N("Groceries")-IF(DAY(A111)=Budget!$G$6,Budget!$F$6,0)</f>
        <v>0</v>
      </c>
      <c r="M111" s="17">
        <f>N("Savings")-IF(DAY(A111)=Budget!$G$7,Budget!$F$7,0)</f>
        <v>0</v>
      </c>
      <c r="N111" s="17">
        <f>N("Car Insurance")-COUNTIF(Budget!$G$14, A111)*Budget!$F$14</f>
        <v>0</v>
      </c>
      <c r="O111" s="17">
        <f>N("Phone Bill")-COUNTIF(Budget!$G$15, A111)*Budget!$F$15</f>
        <v>0</v>
      </c>
      <c r="Q111" s="17">
        <f>N("Spotify")-IF(AND(DAY($A111)=Budget!$M$3, MONTH($A111)=Budget!$L$3),Budget!$K$3,0)</f>
        <v>0</v>
      </c>
      <c r="R111" s="17">
        <f>N("Spotify")-IF(AND(DAY($A111)=Budget!$M$4, MONTH($A111)=Budget!$L$4),Budget!$K$4,0)</f>
        <v>0</v>
      </c>
      <c r="S111" s="17">
        <f>N("Spotify")-IF(AND(DAY($A111)=Budget!$M$5, MONTH($A111)=Budget!$L$5),Budget!$K$5,0)</f>
        <v>0</v>
      </c>
      <c r="T111" s="17">
        <f>N("Amazon Prime")-IF(DAY(A111)=Budget!$Q$3,Budget!$P$3,0)</f>
        <v>-7.48</v>
      </c>
      <c r="U111" s="17">
        <f>N("Audible")-IF(DAY(A111)=Budget!$Q$12,Budget!$P$12,0)</f>
        <v>0</v>
      </c>
      <c r="V111" s="17">
        <f>N("Crunchyroll")-IF(DAY(A111)=Budget!$Q$5,Budget!$P$5,0)</f>
        <v>0</v>
      </c>
      <c r="W111" s="17">
        <f>N("HBO Max")-IF(DAY(A111)=Budget!$Q$6,Budget!$P$6,0)</f>
        <v>-11.99</v>
      </c>
      <c r="X111" s="17">
        <f>N("Netflix")-IF(DAY(A111)=Budget!$Q$7,Budget!$P$7,0)</f>
        <v>0</v>
      </c>
      <c r="Y111" s="17">
        <f>N("Spotify")-IF(DAY(A111)=Budget!$Q$8,Budget!$P$8,0)</f>
        <v>0</v>
      </c>
      <c r="Z111" s="17">
        <f>N("Truebill")-IF(DAY(A111)=Budget!$Q$9,Budget!$P$9,0)</f>
        <v>0</v>
      </c>
      <c r="AA111" s="6">
        <f t="shared" si="12"/>
        <v>-19.47</v>
      </c>
    </row>
    <row r="112" spans="1:30" x14ac:dyDescent="0.3">
      <c r="A112" s="4">
        <f t="shared" si="14"/>
        <v>45756</v>
      </c>
      <c r="B112" s="2">
        <f t="shared" si="13"/>
        <v>3590.58</v>
      </c>
      <c r="C112" s="7">
        <f t="shared" si="15"/>
        <v>1</v>
      </c>
      <c r="D112" s="1">
        <v>0</v>
      </c>
      <c r="E112" s="17">
        <f>N("PAY-LM")+IF(WEEKDAY(A112)=Budget!$C$3,Budget!$B$3,0)</f>
        <v>0</v>
      </c>
      <c r="F112" s="17">
        <f>N("Rent")-IF(DAY(A112)=Budget!$G$3,Budget!$F$3,0)</f>
        <v>0</v>
      </c>
      <c r="G112" s="17">
        <f>N("Car")-IF(DAY(A112)=Budget!$G$4,Budget!$F$4+Budget!$H$4,0)</f>
        <v>0</v>
      </c>
      <c r="H112" s="17">
        <f>N("Mom Rent")-IF(DAY(A112)=Budget!$G$5,Budget!$F$5,0)</f>
        <v>0</v>
      </c>
      <c r="I112" s="17">
        <f>N("AT&amp;T")-IF(DAY(A112)=Budget!$G$8,Budget!$F$8,0)</f>
        <v>0</v>
      </c>
      <c r="J112" s="17">
        <f>N("GA Power")-IF(DAY(A112)=Budget!$G$9,Budget!$F$9,0)</f>
        <v>0</v>
      </c>
      <c r="K112" s="17">
        <f>N("Haircut")-IF(DAY(A112)=Budget!$G$10,Budget!$F$10,0)</f>
        <v>0</v>
      </c>
      <c r="L112" s="17">
        <f>N("Groceries")-IF(DAY(A112)=Budget!$G$6,Budget!$F$6,0)</f>
        <v>0</v>
      </c>
      <c r="M112" s="17">
        <f>N("Savings")-IF(DAY(A112)=Budget!$G$7,Budget!$F$7,0)</f>
        <v>0</v>
      </c>
      <c r="N112" s="17">
        <f>N("Car Insurance")-COUNTIF(Budget!$G$14, A112)*Budget!$F$14</f>
        <v>0</v>
      </c>
      <c r="O112" s="17">
        <f>N("Phone Bill")-COUNTIF(Budget!$G$15, A112)*Budget!$F$15</f>
        <v>0</v>
      </c>
      <c r="Q112" s="17">
        <f>N("Spotify")-IF(AND(DAY($A112)=Budget!$M$3, MONTH($A112)=Budget!$L$3),Budget!$K$3,0)</f>
        <v>0</v>
      </c>
      <c r="R112" s="17">
        <f>N("Spotify")-IF(AND(DAY($A112)=Budget!$M$4, MONTH($A112)=Budget!$L$4),Budget!$K$4,0)</f>
        <v>0</v>
      </c>
      <c r="S112" s="17">
        <f>N("Spotify")-IF(AND(DAY($A112)=Budget!$M$5, MONTH($A112)=Budget!$L$5),Budget!$K$5,0)</f>
        <v>0</v>
      </c>
      <c r="T112" s="17">
        <f>N("Amazon Prime")-IF(DAY(A112)=Budget!$Q$3,Budget!$P$3,0)</f>
        <v>0</v>
      </c>
      <c r="U112" s="17">
        <f>N("Audible")-IF(DAY(A112)=Budget!$Q$12,Budget!$P$12,0)</f>
        <v>0</v>
      </c>
      <c r="V112" s="17">
        <f>N("Crunchyroll")-IF(DAY(A112)=Budget!$Q$5,Budget!$P$5,0)</f>
        <v>0</v>
      </c>
      <c r="W112" s="17">
        <f>N("HBO Max")-IF(DAY(A112)=Budget!$Q$6,Budget!$P$6,0)</f>
        <v>0</v>
      </c>
      <c r="X112" s="17">
        <f>N("Netflix")-IF(DAY(A112)=Budget!$Q$7,Budget!$P$7,0)</f>
        <v>0</v>
      </c>
      <c r="Y112" s="17">
        <f>N("Spotify")-IF(DAY(A112)=Budget!$Q$8,Budget!$P$8,0)</f>
        <v>0</v>
      </c>
      <c r="Z112" s="17">
        <f>N("Truebill")-IF(DAY(A112)=Budget!$Q$9,Budget!$P$9,0)</f>
        <v>0</v>
      </c>
      <c r="AA112" s="6">
        <f t="shared" si="12"/>
        <v>0</v>
      </c>
    </row>
    <row r="113" spans="1:27" x14ac:dyDescent="0.3">
      <c r="A113" s="4">
        <f t="shared" si="14"/>
        <v>45757</v>
      </c>
      <c r="B113" s="2">
        <f t="shared" si="13"/>
        <v>3590.58</v>
      </c>
      <c r="C113" s="7">
        <f t="shared" si="15"/>
        <v>1</v>
      </c>
      <c r="D113" s="1">
        <v>0</v>
      </c>
      <c r="E113" s="17">
        <f>N("PAY-LM")+IF(WEEKDAY(A113)=Budget!$C$3,Budget!$B$3,0)</f>
        <v>0</v>
      </c>
      <c r="F113" s="17">
        <f>N("Rent")-IF(DAY(A113)=Budget!$G$3,Budget!$F$3,0)</f>
        <v>0</v>
      </c>
      <c r="G113" s="17">
        <f>N("Car")-IF(DAY(A113)=Budget!$G$4,Budget!$F$4+Budget!$H$4,0)</f>
        <v>0</v>
      </c>
      <c r="H113" s="17">
        <f>N("Mom Rent")-IF(DAY(A113)=Budget!$G$5,Budget!$F$5,0)</f>
        <v>0</v>
      </c>
      <c r="I113" s="17">
        <f>N("AT&amp;T")-IF(DAY(A113)=Budget!$G$8,Budget!$F$8,0)</f>
        <v>0</v>
      </c>
      <c r="J113" s="17">
        <f>N("GA Power")-IF(DAY(A113)=Budget!$G$9,Budget!$F$9,0)</f>
        <v>0</v>
      </c>
      <c r="K113" s="17">
        <f>N("Haircut")-IF(DAY(A113)=Budget!$G$10,Budget!$F$10,0)</f>
        <v>0</v>
      </c>
      <c r="L113" s="17">
        <f>N("Groceries")-IF(DAY(A113)=Budget!$G$6,Budget!$F$6,0)</f>
        <v>0</v>
      </c>
      <c r="M113" s="17">
        <f>N("Savings")-IF(DAY(A113)=Budget!$G$7,Budget!$F$7,0)</f>
        <v>0</v>
      </c>
      <c r="N113" s="17">
        <f>N("Car Insurance")-COUNTIF(Budget!$G$14, A113)*Budget!$F$14</f>
        <v>0</v>
      </c>
      <c r="O113" s="17">
        <f>N("Phone Bill")-COUNTIF(Budget!$G$15, A113)*Budget!$F$15</f>
        <v>0</v>
      </c>
      <c r="Q113" s="17">
        <f>N("Spotify")-IF(AND(DAY($A113)=Budget!$M$3, MONTH($A113)=Budget!$L$3),Budget!$K$3,0)</f>
        <v>0</v>
      </c>
      <c r="R113" s="17">
        <f>N("Spotify")-IF(AND(DAY($A113)=Budget!$M$4, MONTH($A113)=Budget!$L$4),Budget!$K$4,0)</f>
        <v>0</v>
      </c>
      <c r="S113" s="17">
        <f>N("Spotify")-IF(AND(DAY($A113)=Budget!$M$5, MONTH($A113)=Budget!$L$5),Budget!$K$5,0)</f>
        <v>0</v>
      </c>
      <c r="T113" s="17">
        <f>N("Amazon Prime")-IF(DAY(A113)=Budget!$Q$3,Budget!$P$3,0)</f>
        <v>0</v>
      </c>
      <c r="U113" s="17">
        <f>N("Audible")-IF(DAY(A113)=Budget!$Q$12,Budget!$P$12,0)</f>
        <v>0</v>
      </c>
      <c r="V113" s="17">
        <f>N("Crunchyroll")-IF(DAY(A113)=Budget!$Q$5,Budget!$P$5,0)</f>
        <v>0</v>
      </c>
      <c r="W113" s="17">
        <f>N("HBO Max")-IF(DAY(A113)=Budget!$Q$6,Budget!$P$6,0)</f>
        <v>0</v>
      </c>
      <c r="X113" s="17">
        <f>N("Netflix")-IF(DAY(A113)=Budget!$Q$7,Budget!$P$7,0)</f>
        <v>0</v>
      </c>
      <c r="Y113" s="17">
        <f>N("Spotify")-IF(DAY(A113)=Budget!$Q$8,Budget!$P$8,0)</f>
        <v>0</v>
      </c>
      <c r="Z113" s="17">
        <f>N("Truebill")-IF(DAY(A113)=Budget!$Q$9,Budget!$P$9,0)</f>
        <v>0</v>
      </c>
      <c r="AA113" s="6">
        <f t="shared" si="12"/>
        <v>0</v>
      </c>
    </row>
    <row r="114" spans="1:27" x14ac:dyDescent="0.3">
      <c r="A114" s="4">
        <f t="shared" si="14"/>
        <v>45758</v>
      </c>
      <c r="B114" s="2">
        <f t="shared" si="13"/>
        <v>5043.58</v>
      </c>
      <c r="C114" s="7">
        <f t="shared" si="15"/>
        <v>2</v>
      </c>
      <c r="D114" s="1">
        <v>0</v>
      </c>
      <c r="E114" s="17">
        <f>N("PAY-LM")+IF(WEEKDAY(A114)=Budget!$C$3,Budget!$B$3,0)</f>
        <v>1453</v>
      </c>
      <c r="F114" s="17">
        <f>N("Rent")-IF(DAY(A114)=Budget!$G$3,Budget!$F$3,0)</f>
        <v>0</v>
      </c>
      <c r="G114" s="17">
        <f>N("Car")-IF(DAY(A114)=Budget!$G$4,Budget!$F$4+Budget!$H$4,0)</f>
        <v>0</v>
      </c>
      <c r="H114" s="17">
        <f>N("Mom Rent")-IF(DAY(A114)=Budget!$G$5,Budget!$F$5,0)</f>
        <v>0</v>
      </c>
      <c r="I114" s="17">
        <f>N("AT&amp;T")-IF(DAY(A114)=Budget!$G$8,Budget!$F$8,0)</f>
        <v>0</v>
      </c>
      <c r="J114" s="17">
        <f>N("GA Power")-IF(DAY(A114)=Budget!$G$9,Budget!$F$9,0)</f>
        <v>0</v>
      </c>
      <c r="K114" s="17">
        <f>N("Haircut")-IF(DAY(A114)=Budget!$G$10,Budget!$F$10,0)</f>
        <v>0</v>
      </c>
      <c r="L114" s="17">
        <f>N("Groceries")-IF(DAY(A114)=Budget!$G$6,Budget!$F$6,0)</f>
        <v>0</v>
      </c>
      <c r="M114" s="17">
        <f>N("Savings")-IF(DAY(A114)=Budget!$G$7,Budget!$F$7,0)</f>
        <v>0</v>
      </c>
      <c r="N114" s="17">
        <f>N("Car Insurance")-COUNTIF(Budget!$G$14, A114)*Budget!$F$14</f>
        <v>0</v>
      </c>
      <c r="O114" s="17">
        <f>N("Phone Bill")-COUNTIF(Budget!$G$15, A114)*Budget!$F$15</f>
        <v>0</v>
      </c>
      <c r="Q114" s="17">
        <f>N("Spotify")-IF(AND(DAY($A114)=Budget!$M$3, MONTH($A114)=Budget!$L$3),Budget!$K$3,0)</f>
        <v>0</v>
      </c>
      <c r="R114" s="17">
        <f>N("Spotify")-IF(AND(DAY($A114)=Budget!$M$4, MONTH($A114)=Budget!$L$4),Budget!$K$4,0)</f>
        <v>0</v>
      </c>
      <c r="S114" s="17">
        <f>N("Spotify")-IF(AND(DAY($A114)=Budget!$M$5, MONTH($A114)=Budget!$L$5),Budget!$K$5,0)</f>
        <v>0</v>
      </c>
      <c r="T114" s="17">
        <f>N("Amazon Prime")-IF(DAY(A114)=Budget!$Q$3,Budget!$P$3,0)</f>
        <v>0</v>
      </c>
      <c r="U114" s="17">
        <f>N("Audible")-IF(DAY(A114)=Budget!$Q$12,Budget!$P$12,0)</f>
        <v>0</v>
      </c>
      <c r="V114" s="17">
        <f>N("Crunchyroll")-IF(DAY(A114)=Budget!$Q$5,Budget!$P$5,0)</f>
        <v>0</v>
      </c>
      <c r="W114" s="17">
        <f>N("HBO Max")-IF(DAY(A114)=Budget!$Q$6,Budget!$P$6,0)</f>
        <v>0</v>
      </c>
      <c r="X114" s="17">
        <f>N("Netflix")-IF(DAY(A114)=Budget!$Q$7,Budget!$P$7,0)</f>
        <v>0</v>
      </c>
      <c r="Y114" s="17">
        <f>N("Spotify")-IF(DAY(A114)=Budget!$Q$8,Budget!$P$8,0)</f>
        <v>0</v>
      </c>
      <c r="Z114" s="17">
        <f>N("Truebill")-IF(DAY(A114)=Budget!$Q$9,Budget!$P$9,0)</f>
        <v>0</v>
      </c>
      <c r="AA114" s="6">
        <f t="shared" si="12"/>
        <v>1453</v>
      </c>
    </row>
    <row r="115" spans="1:27" x14ac:dyDescent="0.3">
      <c r="A115" s="4">
        <f t="shared" si="14"/>
        <v>45759</v>
      </c>
      <c r="B115" s="2">
        <f t="shared" si="13"/>
        <v>5037.58</v>
      </c>
      <c r="C115" s="7">
        <f t="shared" si="15"/>
        <v>0</v>
      </c>
      <c r="D115" s="1">
        <v>0</v>
      </c>
      <c r="E115" s="17">
        <f>N("PAY-LM")+IF(WEEKDAY(A115)=Budget!$C$3,Budget!$B$3,0)</f>
        <v>0</v>
      </c>
      <c r="F115" s="17">
        <f>N("Rent")-IF(DAY(A115)=Budget!$G$3,Budget!$F$3,0)</f>
        <v>0</v>
      </c>
      <c r="G115" s="17">
        <f>N("Car")-IF(DAY(A115)=Budget!$G$4,Budget!$F$4+Budget!$H$4,0)</f>
        <v>0</v>
      </c>
      <c r="H115" s="17">
        <f>N("Mom Rent")-IF(DAY(A115)=Budget!$G$5,Budget!$F$5,0)</f>
        <v>0</v>
      </c>
      <c r="I115" s="17">
        <f>N("AT&amp;T")-IF(DAY(A115)=Budget!$G$8,Budget!$F$8,0)</f>
        <v>0</v>
      </c>
      <c r="J115" s="17">
        <f>N("GA Power")-IF(DAY(A115)=Budget!$G$9,Budget!$F$9,0)</f>
        <v>0</v>
      </c>
      <c r="K115" s="17">
        <f>N("Haircut")-IF(DAY(A115)=Budget!$G$10,Budget!$F$10,0)</f>
        <v>0</v>
      </c>
      <c r="L115" s="17">
        <f>N("Groceries")-IF(DAY(A115)=Budget!$G$6,Budget!$F$6,0)</f>
        <v>0</v>
      </c>
      <c r="M115" s="17">
        <f>N("Savings")-IF(DAY(A115)=Budget!$G$7,Budget!$F$7,0)</f>
        <v>0</v>
      </c>
      <c r="N115" s="17">
        <f>N("Car Insurance")-COUNTIF(Budget!$G$14, A115)*Budget!$F$14</f>
        <v>0</v>
      </c>
      <c r="O115" s="17">
        <f>N("Phone Bill")-COUNTIF(Budget!$G$15, A115)*Budget!$F$15</f>
        <v>0</v>
      </c>
      <c r="Q115" s="17">
        <f>N("Spotify")-IF(AND(DAY($A115)=Budget!$M$3, MONTH($A115)=Budget!$L$3),Budget!$K$3,0)</f>
        <v>0</v>
      </c>
      <c r="R115" s="17">
        <f>N("Spotify")-IF(AND(DAY($A115)=Budget!$M$4, MONTH($A115)=Budget!$L$4),Budget!$K$4,0)</f>
        <v>0</v>
      </c>
      <c r="S115" s="17">
        <f>N("Spotify")-IF(AND(DAY($A115)=Budget!$M$5, MONTH($A115)=Budget!$L$5),Budget!$K$5,0)</f>
        <v>0</v>
      </c>
      <c r="T115" s="17">
        <f>N("Amazon Prime")-IF(DAY(A115)=Budget!$Q$3,Budget!$P$3,0)</f>
        <v>0</v>
      </c>
      <c r="U115" s="17">
        <f>N("Audible")-IF(DAY(A115)=Budget!$Q$12,Budget!$P$12,0)</f>
        <v>0</v>
      </c>
      <c r="V115" s="17">
        <f>N("Crunchyroll")-IF(DAY(A115)=Budget!$Q$5,Budget!$P$5,0)</f>
        <v>0</v>
      </c>
      <c r="W115" s="17">
        <f>N("HBO Max")-IF(DAY(A115)=Budget!$Q$6,Budget!$P$6,0)</f>
        <v>0</v>
      </c>
      <c r="X115" s="17">
        <f>N("Netflix")-IF(DAY(A115)=Budget!$Q$7,Budget!$P$7,0)</f>
        <v>-6</v>
      </c>
      <c r="Y115" s="17">
        <f>N("Spotify")-IF(DAY(A115)=Budget!$Q$8,Budget!$P$8,0)</f>
        <v>0</v>
      </c>
      <c r="Z115" s="17">
        <f>N("Truebill")-IF(DAY(A115)=Budget!$Q$9,Budget!$P$9,0)</f>
        <v>0</v>
      </c>
      <c r="AA115" s="6">
        <f t="shared" si="12"/>
        <v>-6</v>
      </c>
    </row>
    <row r="116" spans="1:27" x14ac:dyDescent="0.3">
      <c r="A116" s="4">
        <f t="shared" si="14"/>
        <v>45760</v>
      </c>
      <c r="B116" s="2">
        <f t="shared" si="13"/>
        <v>5037.58</v>
      </c>
      <c r="C116" s="7">
        <f t="shared" si="15"/>
        <v>1</v>
      </c>
      <c r="D116" s="1">
        <v>0</v>
      </c>
      <c r="E116" s="17">
        <f>N("PAY-LM")+IF(WEEKDAY(A116)=Budget!$C$3,Budget!$B$3,0)</f>
        <v>0</v>
      </c>
      <c r="F116" s="17">
        <f>N("Rent")-IF(DAY(A116)=Budget!$G$3,Budget!$F$3,0)</f>
        <v>0</v>
      </c>
      <c r="G116" s="17">
        <f>N("Car")-IF(DAY(A116)=Budget!$G$4,Budget!$F$4+Budget!$H$4,0)</f>
        <v>0</v>
      </c>
      <c r="H116" s="17">
        <f>N("Mom Rent")-IF(DAY(A116)=Budget!$G$5,Budget!$F$5,0)</f>
        <v>0</v>
      </c>
      <c r="I116" s="17">
        <f>N("AT&amp;T")-IF(DAY(A116)=Budget!$G$8,Budget!$F$8,0)</f>
        <v>0</v>
      </c>
      <c r="J116" s="17">
        <f>N("GA Power")-IF(DAY(A116)=Budget!$G$9,Budget!$F$9,0)</f>
        <v>0</v>
      </c>
      <c r="K116" s="17">
        <f>N("Haircut")-IF(DAY(A116)=Budget!$G$10,Budget!$F$10,0)</f>
        <v>0</v>
      </c>
      <c r="L116" s="17">
        <f>N("Groceries")-IF(DAY(A116)=Budget!$G$6,Budget!$F$6,0)</f>
        <v>0</v>
      </c>
      <c r="M116" s="17">
        <f>N("Savings")-IF(DAY(A116)=Budget!$G$7,Budget!$F$7,0)</f>
        <v>0</v>
      </c>
      <c r="N116" s="17">
        <f>N("Car Insurance")-COUNTIF(Budget!$G$14, A116)*Budget!$F$14</f>
        <v>0</v>
      </c>
      <c r="O116" s="17">
        <f>N("Phone Bill")-COUNTIF(Budget!$G$15, A116)*Budget!$F$15</f>
        <v>0</v>
      </c>
      <c r="Q116" s="17">
        <f>N("Spotify")-IF(AND(DAY($A116)=Budget!$M$3, MONTH($A116)=Budget!$L$3),Budget!$K$3,0)</f>
        <v>0</v>
      </c>
      <c r="R116" s="17">
        <f>N("Spotify")-IF(AND(DAY($A116)=Budget!$M$4, MONTH($A116)=Budget!$L$4),Budget!$K$4,0)</f>
        <v>0</v>
      </c>
      <c r="S116" s="17">
        <f>N("Spotify")-IF(AND(DAY($A116)=Budget!$M$5, MONTH($A116)=Budget!$L$5),Budget!$K$5,0)</f>
        <v>0</v>
      </c>
      <c r="T116" s="17">
        <f>N("Amazon Prime")-IF(DAY(A116)=Budget!$Q$3,Budget!$P$3,0)</f>
        <v>0</v>
      </c>
      <c r="U116" s="17">
        <f>N("Audible")-IF(DAY(A116)=Budget!$Q$12,Budget!$P$12,0)</f>
        <v>0</v>
      </c>
      <c r="V116" s="17">
        <f>N("Crunchyroll")-IF(DAY(A116)=Budget!$Q$5,Budget!$P$5,0)</f>
        <v>0</v>
      </c>
      <c r="W116" s="17">
        <f>N("HBO Max")-IF(DAY(A116)=Budget!$Q$6,Budget!$P$6,0)</f>
        <v>0</v>
      </c>
      <c r="X116" s="17">
        <f>N("Netflix")-IF(DAY(A116)=Budget!$Q$7,Budget!$P$7,0)</f>
        <v>0</v>
      </c>
      <c r="Y116" s="17">
        <f>N("Spotify")-IF(DAY(A116)=Budget!$Q$8,Budget!$P$8,0)</f>
        <v>0</v>
      </c>
      <c r="Z116" s="17">
        <f>N("Truebill")-IF(DAY(A116)=Budget!$Q$9,Budget!$P$9,0)</f>
        <v>0</v>
      </c>
      <c r="AA116" s="6">
        <f t="shared" si="12"/>
        <v>0</v>
      </c>
    </row>
    <row r="117" spans="1:27" x14ac:dyDescent="0.3">
      <c r="A117" s="4">
        <f t="shared" si="14"/>
        <v>45761</v>
      </c>
      <c r="B117" s="2">
        <f t="shared" si="13"/>
        <v>5037.58</v>
      </c>
      <c r="C117" s="7">
        <f t="shared" si="15"/>
        <v>1</v>
      </c>
      <c r="D117" s="1">
        <v>0</v>
      </c>
      <c r="E117" s="17">
        <f>N("PAY-LM")+IF(WEEKDAY(A117)=Budget!$C$3,Budget!$B$3,0)</f>
        <v>0</v>
      </c>
      <c r="F117" s="17">
        <f>N("Rent")-IF(DAY(A117)=Budget!$G$3,Budget!$F$3,0)</f>
        <v>0</v>
      </c>
      <c r="G117" s="17">
        <f>N("Car")-IF(DAY(A117)=Budget!$G$4,Budget!$F$4+Budget!$H$4,0)</f>
        <v>0</v>
      </c>
      <c r="H117" s="17">
        <f>N("Mom Rent")-IF(DAY(A117)=Budget!$G$5,Budget!$F$5,0)</f>
        <v>0</v>
      </c>
      <c r="I117" s="17">
        <f>N("AT&amp;T")-IF(DAY(A117)=Budget!$G$8,Budget!$F$8,0)</f>
        <v>0</v>
      </c>
      <c r="J117" s="17">
        <f>N("GA Power")-IF(DAY(A117)=Budget!$G$9,Budget!$F$9,0)</f>
        <v>0</v>
      </c>
      <c r="K117" s="17">
        <f>N("Haircut")-IF(DAY(A117)=Budget!$G$10,Budget!$F$10,0)</f>
        <v>0</v>
      </c>
      <c r="L117" s="17">
        <f>N("Groceries")-IF(DAY(A117)=Budget!$G$6,Budget!$F$6,0)</f>
        <v>0</v>
      </c>
      <c r="M117" s="17">
        <f>N("Savings")-IF(DAY(A117)=Budget!$G$7,Budget!$F$7,0)</f>
        <v>0</v>
      </c>
      <c r="N117" s="17">
        <f>N("Car Insurance")-COUNTIF(Budget!$G$14, A117)*Budget!$F$14</f>
        <v>0</v>
      </c>
      <c r="O117" s="17">
        <f>N("Phone Bill")-COUNTIF(Budget!$G$15, A117)*Budget!$F$15</f>
        <v>0</v>
      </c>
      <c r="Q117" s="17">
        <f>N("Spotify")-IF(AND(DAY($A117)=Budget!$M$3, MONTH($A117)=Budget!$L$3),Budget!$K$3,0)</f>
        <v>0</v>
      </c>
      <c r="R117" s="17">
        <f>N("Spotify")-IF(AND(DAY($A117)=Budget!$M$4, MONTH($A117)=Budget!$L$4),Budget!$K$4,0)</f>
        <v>0</v>
      </c>
      <c r="S117" s="17">
        <f>N("Spotify")-IF(AND(DAY($A117)=Budget!$M$5, MONTH($A117)=Budget!$L$5),Budget!$K$5,0)</f>
        <v>0</v>
      </c>
      <c r="T117" s="17">
        <f>N("Amazon Prime")-IF(DAY(A117)=Budget!$Q$3,Budget!$P$3,0)</f>
        <v>0</v>
      </c>
      <c r="U117" s="17">
        <f>N("Audible")-IF(DAY(A117)=Budget!$Q$12,Budget!$P$12,0)</f>
        <v>0</v>
      </c>
      <c r="V117" s="17">
        <f>N("Crunchyroll")-IF(DAY(A117)=Budget!$Q$5,Budget!$P$5,0)</f>
        <v>0</v>
      </c>
      <c r="W117" s="17">
        <f>N("HBO Max")-IF(DAY(A117)=Budget!$Q$6,Budget!$P$6,0)</f>
        <v>0</v>
      </c>
      <c r="X117" s="17">
        <f>N("Netflix")-IF(DAY(A117)=Budget!$Q$7,Budget!$P$7,0)</f>
        <v>0</v>
      </c>
      <c r="Y117" s="17">
        <f>N("Spotify")-IF(DAY(A117)=Budget!$Q$8,Budget!$P$8,0)</f>
        <v>0</v>
      </c>
      <c r="Z117" s="17">
        <f>N("Truebill")-IF(DAY(A117)=Budget!$Q$9,Budget!$P$9,0)</f>
        <v>0</v>
      </c>
      <c r="AA117" s="6">
        <f t="shared" si="12"/>
        <v>0</v>
      </c>
    </row>
    <row r="118" spans="1:27" x14ac:dyDescent="0.3">
      <c r="A118" s="4">
        <f t="shared" si="14"/>
        <v>45762</v>
      </c>
      <c r="B118" s="2">
        <f t="shared" si="13"/>
        <v>5037.58</v>
      </c>
      <c r="C118" s="7">
        <f t="shared" si="15"/>
        <v>1</v>
      </c>
      <c r="D118" s="1">
        <v>0</v>
      </c>
      <c r="E118" s="17">
        <f>N("PAY-LM")+IF(WEEKDAY(A118)=Budget!$C$3,Budget!$B$3,0)</f>
        <v>0</v>
      </c>
      <c r="F118" s="17">
        <f>N("Rent")-IF(DAY(A118)=Budget!$G$3,Budget!$F$3,0)</f>
        <v>0</v>
      </c>
      <c r="G118" s="17">
        <f>N("Car")-IF(DAY(A118)=Budget!$G$4,Budget!$F$4+Budget!$H$4,0)</f>
        <v>0</v>
      </c>
      <c r="H118" s="17">
        <f>N("Mom Rent")-IF(DAY(A118)=Budget!$G$5,Budget!$F$5,0)</f>
        <v>0</v>
      </c>
      <c r="I118" s="17">
        <f>N("AT&amp;T")-IF(DAY(A118)=Budget!$G$8,Budget!$F$8,0)</f>
        <v>0</v>
      </c>
      <c r="J118" s="17">
        <f>N("GA Power")-IF(DAY(A118)=Budget!$G$9,Budget!$F$9,0)</f>
        <v>0</v>
      </c>
      <c r="K118" s="17">
        <f>N("Haircut")-IF(DAY(A118)=Budget!$G$10,Budget!$F$10,0)</f>
        <v>0</v>
      </c>
      <c r="L118" s="17">
        <f>N("Groceries")-IF(DAY(A118)=Budget!$G$6,Budget!$F$6,0)</f>
        <v>0</v>
      </c>
      <c r="M118" s="17">
        <f>N("Savings")-IF(DAY(A118)=Budget!$G$7,Budget!$F$7,0)</f>
        <v>0</v>
      </c>
      <c r="N118" s="17">
        <f>N("Car Insurance")-COUNTIF(Budget!$G$14, A118)*Budget!$F$14</f>
        <v>0</v>
      </c>
      <c r="O118" s="17">
        <f>N("Phone Bill")-COUNTIF(Budget!$G$15, A118)*Budget!$F$15</f>
        <v>0</v>
      </c>
      <c r="Q118" s="17">
        <f>N("Spotify")-IF(AND(DAY($A118)=Budget!$M$3, MONTH($A118)=Budget!$L$3),Budget!$K$3,0)</f>
        <v>0</v>
      </c>
      <c r="R118" s="17">
        <f>N("Spotify")-IF(AND(DAY($A118)=Budget!$M$4, MONTH($A118)=Budget!$L$4),Budget!$K$4,0)</f>
        <v>0</v>
      </c>
      <c r="S118" s="17">
        <f>N("Spotify")-IF(AND(DAY($A118)=Budget!$M$5, MONTH($A118)=Budget!$L$5),Budget!$K$5,0)</f>
        <v>0</v>
      </c>
      <c r="T118" s="17">
        <f>N("Amazon Prime")-IF(DAY(A118)=Budget!$Q$3,Budget!$P$3,0)</f>
        <v>0</v>
      </c>
      <c r="U118" s="17">
        <f>N("Audible")-IF(DAY(A118)=Budget!$Q$12,Budget!$P$12,0)</f>
        <v>0</v>
      </c>
      <c r="V118" s="17">
        <f>N("Crunchyroll")-IF(DAY(A118)=Budget!$Q$5,Budget!$P$5,0)</f>
        <v>0</v>
      </c>
      <c r="W118" s="17">
        <f>N("HBO Max")-IF(DAY(A118)=Budget!$Q$6,Budget!$P$6,0)</f>
        <v>0</v>
      </c>
      <c r="X118" s="17">
        <f>N("Netflix")-IF(DAY(A118)=Budget!$Q$7,Budget!$P$7,0)</f>
        <v>0</v>
      </c>
      <c r="Y118" s="17">
        <f>N("Spotify")-IF(DAY(A118)=Budget!$Q$8,Budget!$P$8,0)</f>
        <v>0</v>
      </c>
      <c r="Z118" s="17">
        <f>N("Truebill")-IF(DAY(A118)=Budget!$Q$9,Budget!$P$9,0)</f>
        <v>0</v>
      </c>
      <c r="AA118" s="6">
        <f t="shared" si="12"/>
        <v>0</v>
      </c>
    </row>
    <row r="119" spans="1:27" x14ac:dyDescent="0.3">
      <c r="A119" s="4">
        <f t="shared" si="14"/>
        <v>45763</v>
      </c>
      <c r="B119" s="2">
        <f t="shared" si="13"/>
        <v>5037.58</v>
      </c>
      <c r="C119" s="7">
        <f t="shared" si="15"/>
        <v>1</v>
      </c>
      <c r="D119" s="1">
        <v>0</v>
      </c>
      <c r="E119" s="17">
        <f>N("PAY-LM")+IF(WEEKDAY(A119)=Budget!$C$3,Budget!$B$3,0)</f>
        <v>0</v>
      </c>
      <c r="F119" s="17">
        <f>N("Rent")-IF(DAY(A119)=Budget!$G$3,Budget!$F$3,0)</f>
        <v>0</v>
      </c>
      <c r="G119" s="17">
        <f>N("Car")-IF(DAY(A119)=Budget!$G$4,Budget!$F$4+Budget!$H$4,0)</f>
        <v>0</v>
      </c>
      <c r="H119" s="17">
        <f>N("Mom Rent")-IF(DAY(A119)=Budget!$G$5,Budget!$F$5,0)</f>
        <v>0</v>
      </c>
      <c r="I119" s="17">
        <f>N("AT&amp;T")-IF(DAY(A119)=Budget!$G$8,Budget!$F$8,0)</f>
        <v>0</v>
      </c>
      <c r="J119" s="17">
        <f>N("GA Power")-IF(DAY(A119)=Budget!$G$9,Budget!$F$9,0)</f>
        <v>0</v>
      </c>
      <c r="K119" s="17">
        <f>N("Haircut")-IF(DAY(A119)=Budget!$G$10,Budget!$F$10,0)</f>
        <v>0</v>
      </c>
      <c r="L119" s="17">
        <f>N("Groceries")-IF(DAY(A119)=Budget!$G$6,Budget!$F$6,0)</f>
        <v>0</v>
      </c>
      <c r="M119" s="17">
        <f>N("Savings")-IF(DAY(A119)=Budget!$G$7,Budget!$F$7,0)</f>
        <v>0</v>
      </c>
      <c r="N119" s="17">
        <f>N("Car Insurance")-COUNTIF(Budget!$G$14, A119)*Budget!$F$14</f>
        <v>0</v>
      </c>
      <c r="O119" s="17">
        <f>N("Phone Bill")-COUNTIF(Budget!$G$15, A119)*Budget!$F$15</f>
        <v>0</v>
      </c>
      <c r="Q119" s="17">
        <f>N("Spotify")-IF(AND(DAY($A119)=Budget!$M$3, MONTH($A119)=Budget!$L$3),Budget!$K$3,0)</f>
        <v>0</v>
      </c>
      <c r="R119" s="17">
        <f>N("Spotify")-IF(AND(DAY($A119)=Budget!$M$4, MONTH($A119)=Budget!$L$4),Budget!$K$4,0)</f>
        <v>0</v>
      </c>
      <c r="S119" s="17">
        <f>N("Spotify")-IF(AND(DAY($A119)=Budget!$M$5, MONTH($A119)=Budget!$L$5),Budget!$K$5,0)</f>
        <v>0</v>
      </c>
      <c r="T119" s="17">
        <f>N("Amazon Prime")-IF(DAY(A119)=Budget!$Q$3,Budget!$P$3,0)</f>
        <v>0</v>
      </c>
      <c r="U119" s="17">
        <f>N("Audible")-IF(DAY(A119)=Budget!$Q$12,Budget!$P$12,0)</f>
        <v>0</v>
      </c>
      <c r="V119" s="17">
        <f>N("Crunchyroll")-IF(DAY(A119)=Budget!$Q$5,Budget!$P$5,0)</f>
        <v>0</v>
      </c>
      <c r="W119" s="17">
        <f>N("HBO Max")-IF(DAY(A119)=Budget!$Q$6,Budget!$P$6,0)</f>
        <v>0</v>
      </c>
      <c r="X119" s="17">
        <f>N("Netflix")-IF(DAY(A119)=Budget!$Q$7,Budget!$P$7,0)</f>
        <v>0</v>
      </c>
      <c r="Y119" s="17">
        <f>N("Spotify")-IF(DAY(A119)=Budget!$Q$8,Budget!$P$8,0)</f>
        <v>0</v>
      </c>
      <c r="Z119" s="17">
        <f>N("Truebill")-IF(DAY(A119)=Budget!$Q$9,Budget!$P$9,0)</f>
        <v>0</v>
      </c>
      <c r="AA119" s="6">
        <f t="shared" si="12"/>
        <v>0</v>
      </c>
    </row>
    <row r="120" spans="1:27" x14ac:dyDescent="0.3">
      <c r="A120" s="4">
        <f t="shared" si="14"/>
        <v>45764</v>
      </c>
      <c r="B120" s="2">
        <f t="shared" si="13"/>
        <v>5037.58</v>
      </c>
      <c r="C120" s="7">
        <f t="shared" si="15"/>
        <v>1</v>
      </c>
      <c r="D120" s="1">
        <v>0</v>
      </c>
      <c r="E120" s="17">
        <f>N("PAY-LM")+IF(WEEKDAY(A120)=Budget!$C$3,Budget!$B$3,0)</f>
        <v>0</v>
      </c>
      <c r="F120" s="17">
        <f>N("Rent")-IF(DAY(A120)=Budget!$G$3,Budget!$F$3,0)</f>
        <v>0</v>
      </c>
      <c r="G120" s="17">
        <f>N("Car")-IF(DAY(A120)=Budget!$G$4,Budget!$F$4+Budget!$H$4,0)</f>
        <v>0</v>
      </c>
      <c r="H120" s="17">
        <f>N("Mom Rent")-IF(DAY(A120)=Budget!$G$5,Budget!$F$5,0)</f>
        <v>0</v>
      </c>
      <c r="I120" s="17">
        <f>N("AT&amp;T")-IF(DAY(A120)=Budget!$G$8,Budget!$F$8,0)</f>
        <v>0</v>
      </c>
      <c r="J120" s="17">
        <f>N("GA Power")-IF(DAY(A120)=Budget!$G$9,Budget!$F$9,0)</f>
        <v>0</v>
      </c>
      <c r="K120" s="17">
        <f>N("Haircut")-IF(DAY(A120)=Budget!$G$10,Budget!$F$10,0)</f>
        <v>0</v>
      </c>
      <c r="L120" s="17">
        <f>N("Groceries")-IF(DAY(A120)=Budget!$G$6,Budget!$F$6,0)</f>
        <v>0</v>
      </c>
      <c r="M120" s="17">
        <f>N("Savings")-IF(DAY(A120)=Budget!$G$7,Budget!$F$7,0)</f>
        <v>0</v>
      </c>
      <c r="N120" s="17">
        <f>N("Car Insurance")-COUNTIF(Budget!$G$14, A120)*Budget!$F$14</f>
        <v>0</v>
      </c>
      <c r="O120" s="17">
        <f>N("Phone Bill")-COUNTIF(Budget!$G$15, A120)*Budget!$F$15</f>
        <v>0</v>
      </c>
      <c r="Q120" s="17">
        <f>N("Spotify")-IF(AND(DAY($A120)=Budget!$M$3, MONTH($A120)=Budget!$L$3),Budget!$K$3,0)</f>
        <v>0</v>
      </c>
      <c r="R120" s="17">
        <f>N("Spotify")-IF(AND(DAY($A120)=Budget!$M$4, MONTH($A120)=Budget!$L$4),Budget!$K$4,0)</f>
        <v>0</v>
      </c>
      <c r="S120" s="17">
        <f>N("Spotify")-IF(AND(DAY($A120)=Budget!$M$5, MONTH($A120)=Budget!$L$5),Budget!$K$5,0)</f>
        <v>0</v>
      </c>
      <c r="T120" s="17">
        <f>N("Amazon Prime")-IF(DAY(A120)=Budget!$Q$3,Budget!$P$3,0)</f>
        <v>0</v>
      </c>
      <c r="U120" s="17">
        <f>N("Audible")-IF(DAY(A120)=Budget!$Q$12,Budget!$P$12,0)</f>
        <v>0</v>
      </c>
      <c r="V120" s="17">
        <f>N("Crunchyroll")-IF(DAY(A120)=Budget!$Q$5,Budget!$P$5,0)</f>
        <v>0</v>
      </c>
      <c r="W120" s="17">
        <f>N("HBO Max")-IF(DAY(A120)=Budget!$Q$6,Budget!$P$6,0)</f>
        <v>0</v>
      </c>
      <c r="X120" s="17">
        <f>N("Netflix")-IF(DAY(A120)=Budget!$Q$7,Budget!$P$7,0)</f>
        <v>0</v>
      </c>
      <c r="Y120" s="17">
        <f>N("Spotify")-IF(DAY(A120)=Budget!$Q$8,Budget!$P$8,0)</f>
        <v>0</v>
      </c>
      <c r="Z120" s="17">
        <f>N("Truebill")-IF(DAY(A120)=Budget!$Q$9,Budget!$P$9,0)</f>
        <v>0</v>
      </c>
      <c r="AA120" s="6">
        <f t="shared" si="12"/>
        <v>0</v>
      </c>
    </row>
    <row r="121" spans="1:27" x14ac:dyDescent="0.3">
      <c r="A121" s="4">
        <f t="shared" si="14"/>
        <v>45765</v>
      </c>
      <c r="B121" s="2">
        <f t="shared" si="13"/>
        <v>6425.58</v>
      </c>
      <c r="C121" s="7">
        <f t="shared" si="15"/>
        <v>2</v>
      </c>
      <c r="D121" s="1">
        <v>0</v>
      </c>
      <c r="E121" s="17">
        <f>N("PAY-LM")+IF(WEEKDAY(A121)=Budget!$C$3,Budget!$B$3,0)</f>
        <v>1453</v>
      </c>
      <c r="F121" s="17">
        <f>N("Rent")-IF(DAY(A121)=Budget!$G$3,Budget!$F$3,0)</f>
        <v>0</v>
      </c>
      <c r="G121" s="17">
        <f>N("Car")-IF(DAY(A121)=Budget!$G$4,Budget!$F$4+Budget!$H$4,0)</f>
        <v>0</v>
      </c>
      <c r="H121" s="17">
        <f>N("Mom Rent")-IF(DAY(A121)=Budget!$G$5,Budget!$F$5,0)</f>
        <v>0</v>
      </c>
      <c r="I121" s="17">
        <f>N("AT&amp;T")-IF(DAY(A121)=Budget!$G$8,Budget!$F$8,0)</f>
        <v>-65</v>
      </c>
      <c r="J121" s="17">
        <f>N("GA Power")-IF(DAY(A121)=Budget!$G$9,Budget!$F$9,0)</f>
        <v>0</v>
      </c>
      <c r="K121" s="17">
        <f>N("Haircut")-IF(DAY(A121)=Budget!$G$10,Budget!$F$10,0)</f>
        <v>0</v>
      </c>
      <c r="L121" s="17">
        <f>N("Groceries")-IF(DAY(A121)=Budget!$G$6,Budget!$F$6,0)</f>
        <v>0</v>
      </c>
      <c r="M121" s="17">
        <f>N("Savings")-IF(DAY(A121)=Budget!$G$7,Budget!$F$7,0)</f>
        <v>0</v>
      </c>
      <c r="N121" s="17">
        <f>N("Car Insurance")-COUNTIF(Budget!$G$14, A121)*Budget!$F$14</f>
        <v>0</v>
      </c>
      <c r="O121" s="17">
        <f>N("Phone Bill")-COUNTIF(Budget!$G$15, A121)*Budget!$F$15</f>
        <v>0</v>
      </c>
      <c r="Q121" s="17">
        <f>N("Spotify")-IF(AND(DAY($A121)=Budget!$M$3, MONTH($A121)=Budget!$L$3),Budget!$K$3,0)</f>
        <v>0</v>
      </c>
      <c r="R121" s="17">
        <f>N("Spotify")-IF(AND(DAY($A121)=Budget!$M$4, MONTH($A121)=Budget!$L$4),Budget!$K$4,0)</f>
        <v>0</v>
      </c>
      <c r="S121" s="17">
        <f>N("Spotify")-IF(AND(DAY($A121)=Budget!$M$5, MONTH($A121)=Budget!$L$5),Budget!$K$5,0)</f>
        <v>0</v>
      </c>
      <c r="T121" s="17">
        <f>N("Amazon Prime")-IF(DAY(A121)=Budget!$Q$3,Budget!$P$3,0)</f>
        <v>0</v>
      </c>
      <c r="U121" s="17">
        <f>N("Audible")-IF(DAY(A121)=Budget!$Q$12,Budget!$P$12,0)</f>
        <v>0</v>
      </c>
      <c r="V121" s="17">
        <f>N("Crunchyroll")-IF(DAY(A121)=Budget!$Q$5,Budget!$P$5,0)</f>
        <v>0</v>
      </c>
      <c r="W121" s="17">
        <f>N("HBO Max")-IF(DAY(A121)=Budget!$Q$6,Budget!$P$6,0)</f>
        <v>0</v>
      </c>
      <c r="X121" s="17">
        <f>N("Netflix")-IF(DAY(A121)=Budget!$Q$7,Budget!$P$7,0)</f>
        <v>0</v>
      </c>
      <c r="Y121" s="17">
        <f>N("Spotify")-IF(DAY(A121)=Budget!$Q$8,Budget!$P$8,0)</f>
        <v>0</v>
      </c>
      <c r="Z121" s="17">
        <f>N("Truebill")-IF(DAY(A121)=Budget!$Q$9,Budget!$P$9,0)</f>
        <v>0</v>
      </c>
      <c r="AA121" s="6">
        <f t="shared" si="12"/>
        <v>1388</v>
      </c>
    </row>
    <row r="122" spans="1:27" x14ac:dyDescent="0.3">
      <c r="A122" s="4">
        <f t="shared" si="14"/>
        <v>45766</v>
      </c>
      <c r="B122" s="2">
        <f t="shared" si="13"/>
        <v>6425.58</v>
      </c>
      <c r="C122" s="7">
        <f t="shared" si="15"/>
        <v>1</v>
      </c>
      <c r="D122" s="1">
        <v>0</v>
      </c>
      <c r="E122" s="17">
        <f>N("PAY-LM")+IF(WEEKDAY(A122)=Budget!$C$3,Budget!$B$3,0)</f>
        <v>0</v>
      </c>
      <c r="F122" s="17">
        <f>N("Rent")-IF(DAY(A122)=Budget!$G$3,Budget!$F$3,0)</f>
        <v>0</v>
      </c>
      <c r="G122" s="17">
        <f>N("Car")-IF(DAY(A122)=Budget!$G$4,Budget!$F$4+Budget!$H$4,0)</f>
        <v>0</v>
      </c>
      <c r="H122" s="17">
        <f>N("Mom Rent")-IF(DAY(A122)=Budget!$G$5,Budget!$F$5,0)</f>
        <v>0</v>
      </c>
      <c r="I122" s="17">
        <f>N("AT&amp;T")-IF(DAY(A122)=Budget!$G$8,Budget!$F$8,0)</f>
        <v>0</v>
      </c>
      <c r="J122" s="17">
        <f>N("GA Power")-IF(DAY(A122)=Budget!$G$9,Budget!$F$9,0)</f>
        <v>0</v>
      </c>
      <c r="K122" s="17">
        <f>N("Haircut")-IF(DAY(A122)=Budget!$G$10,Budget!$F$10,0)</f>
        <v>0</v>
      </c>
      <c r="L122" s="17">
        <f>N("Groceries")-IF(DAY(A122)=Budget!$G$6,Budget!$F$6,0)</f>
        <v>0</v>
      </c>
      <c r="M122" s="17">
        <f>N("Savings")-IF(DAY(A122)=Budget!$G$7,Budget!$F$7,0)</f>
        <v>0</v>
      </c>
      <c r="N122" s="17">
        <f>N("Car Insurance")-COUNTIF(Budget!$G$14, A122)*Budget!$F$14</f>
        <v>0</v>
      </c>
      <c r="O122" s="17">
        <f>N("Phone Bill")-COUNTIF(Budget!$G$15, A122)*Budget!$F$15</f>
        <v>0</v>
      </c>
      <c r="Q122" s="17">
        <f>N("Spotify")-IF(AND(DAY($A122)=Budget!$M$3, MONTH($A122)=Budget!$L$3),Budget!$K$3,0)</f>
        <v>0</v>
      </c>
      <c r="R122" s="17">
        <f>N("Spotify")-IF(AND(DAY($A122)=Budget!$M$4, MONTH($A122)=Budget!$L$4),Budget!$K$4,0)</f>
        <v>0</v>
      </c>
      <c r="S122" s="17">
        <f>N("Spotify")-IF(AND(DAY($A122)=Budget!$M$5, MONTH($A122)=Budget!$L$5),Budget!$K$5,0)</f>
        <v>0</v>
      </c>
      <c r="T122" s="17">
        <f>N("Amazon Prime")-IF(DAY(A122)=Budget!$Q$3,Budget!$P$3,0)</f>
        <v>0</v>
      </c>
      <c r="U122" s="17">
        <f>N("Audible")-IF(DAY(A122)=Budget!$Q$12,Budget!$P$12,0)</f>
        <v>0</v>
      </c>
      <c r="V122" s="17">
        <f>N("Crunchyroll")-IF(DAY(A122)=Budget!$Q$5,Budget!$P$5,0)</f>
        <v>0</v>
      </c>
      <c r="W122" s="17">
        <f>N("HBO Max")-IF(DAY(A122)=Budget!$Q$6,Budget!$P$6,0)</f>
        <v>0</v>
      </c>
      <c r="X122" s="17">
        <f>N("Netflix")-IF(DAY(A122)=Budget!$Q$7,Budget!$P$7,0)</f>
        <v>0</v>
      </c>
      <c r="Y122" s="17">
        <f>N("Spotify")-IF(DAY(A122)=Budget!$Q$8,Budget!$P$8,0)</f>
        <v>0</v>
      </c>
      <c r="Z122" s="17">
        <f>N("Truebill")-IF(DAY(A122)=Budget!$Q$9,Budget!$P$9,0)</f>
        <v>0</v>
      </c>
      <c r="AA122" s="6">
        <f t="shared" si="12"/>
        <v>0</v>
      </c>
    </row>
    <row r="123" spans="1:27" x14ac:dyDescent="0.3">
      <c r="A123" s="4">
        <f t="shared" si="14"/>
        <v>45767</v>
      </c>
      <c r="B123" s="2">
        <f t="shared" si="13"/>
        <v>5575.58</v>
      </c>
      <c r="C123" s="7">
        <f t="shared" si="15"/>
        <v>0</v>
      </c>
      <c r="D123" s="1">
        <v>0</v>
      </c>
      <c r="E123" s="17">
        <f>N("PAY-LM")+IF(WEEKDAY(A123)=Budget!$C$3,Budget!$B$3,0)</f>
        <v>0</v>
      </c>
      <c r="F123" s="17">
        <f>N("Rent")-IF(DAY(A123)=Budget!$G$3,Budget!$F$3,0)</f>
        <v>0</v>
      </c>
      <c r="G123" s="17">
        <f>N("Car")-IF(DAY(A123)=Budget!$G$4,Budget!$F$4+Budget!$H$4,0)</f>
        <v>0</v>
      </c>
      <c r="H123" s="17">
        <f>N("Mom Rent")-IF(DAY(A123)=Budget!$G$5,Budget!$F$5,0)</f>
        <v>-850</v>
      </c>
      <c r="I123" s="17">
        <f>N("AT&amp;T")-IF(DAY(A123)=Budget!$G$8,Budget!$F$8,0)</f>
        <v>0</v>
      </c>
      <c r="J123" s="17">
        <f>N("GA Power")-IF(DAY(A123)=Budget!$G$9,Budget!$F$9,0)</f>
        <v>0</v>
      </c>
      <c r="K123" s="17">
        <f>N("Haircut")-IF(DAY(A123)=Budget!$G$10,Budget!$F$10,0)</f>
        <v>0</v>
      </c>
      <c r="L123" s="17">
        <f>N("Groceries")-IF(DAY(A123)=Budget!$G$6,Budget!$F$6,0)</f>
        <v>0</v>
      </c>
      <c r="M123" s="17">
        <f>N("Savings")-IF(DAY(A123)=Budget!$G$7,Budget!$F$7,0)</f>
        <v>0</v>
      </c>
      <c r="N123" s="17">
        <f>N("Car Insurance")-COUNTIF(Budget!$G$14, A123)*Budget!$F$14</f>
        <v>0</v>
      </c>
      <c r="O123" s="17">
        <f>N("Phone Bill")-COUNTIF(Budget!$G$15, A123)*Budget!$F$15</f>
        <v>0</v>
      </c>
      <c r="Q123" s="17">
        <f>N("Spotify")-IF(AND(DAY($A123)=Budget!$M$3, MONTH($A123)=Budget!$L$3),Budget!$K$3,0)</f>
        <v>0</v>
      </c>
      <c r="R123" s="17">
        <f>N("Spotify")-IF(AND(DAY($A123)=Budget!$M$4, MONTH($A123)=Budget!$L$4),Budget!$K$4,0)</f>
        <v>0</v>
      </c>
      <c r="S123" s="17">
        <f>N("Spotify")-IF(AND(DAY($A123)=Budget!$M$5, MONTH($A123)=Budget!$L$5),Budget!$K$5,0)</f>
        <v>0</v>
      </c>
      <c r="T123" s="17">
        <f>N("Amazon Prime")-IF(DAY(A123)=Budget!$Q$3,Budget!$P$3,0)</f>
        <v>0</v>
      </c>
      <c r="U123" s="17">
        <f>N("Audible")-IF(DAY(A123)=Budget!$Q$12,Budget!$P$12,0)</f>
        <v>0</v>
      </c>
      <c r="V123" s="17">
        <f>N("Crunchyroll")-IF(DAY(A123)=Budget!$Q$5,Budget!$P$5,0)</f>
        <v>0</v>
      </c>
      <c r="W123" s="17">
        <f>N("HBO Max")-IF(DAY(A123)=Budget!$Q$6,Budget!$P$6,0)</f>
        <v>0</v>
      </c>
      <c r="X123" s="17">
        <f>N("Netflix")-IF(DAY(A123)=Budget!$Q$7,Budget!$P$7,0)</f>
        <v>0</v>
      </c>
      <c r="Y123" s="17">
        <f>N("Spotify")-IF(DAY(A123)=Budget!$Q$8,Budget!$P$8,0)</f>
        <v>0</v>
      </c>
      <c r="Z123" s="17">
        <f>N("Truebill")-IF(DAY(A123)=Budget!$Q$9,Budget!$P$9,0)</f>
        <v>0</v>
      </c>
      <c r="AA123" s="6">
        <f t="shared" si="12"/>
        <v>-850</v>
      </c>
    </row>
    <row r="124" spans="1:27" x14ac:dyDescent="0.3">
      <c r="A124" s="4">
        <f t="shared" si="14"/>
        <v>45768</v>
      </c>
      <c r="B124" s="2">
        <f t="shared" si="13"/>
        <v>5575.58</v>
      </c>
      <c r="C124" s="7">
        <f t="shared" si="15"/>
        <v>1</v>
      </c>
      <c r="D124" s="1">
        <v>0</v>
      </c>
      <c r="E124" s="17">
        <f>N("PAY-LM")+IF(WEEKDAY(A124)=Budget!$C$3,Budget!$B$3,0)</f>
        <v>0</v>
      </c>
      <c r="F124" s="17">
        <f>N("Rent")-IF(DAY(A124)=Budget!$G$3,Budget!$F$3,0)</f>
        <v>0</v>
      </c>
      <c r="G124" s="17">
        <f>N("Car")-IF(DAY(A124)=Budget!$G$4,Budget!$F$4+Budget!$H$4,0)</f>
        <v>0</v>
      </c>
      <c r="H124" s="17">
        <f>N("Mom Rent")-IF(DAY(A124)=Budget!$G$5,Budget!$F$5,0)</f>
        <v>0</v>
      </c>
      <c r="I124" s="17">
        <f>N("AT&amp;T")-IF(DAY(A124)=Budget!$G$8,Budget!$F$8,0)</f>
        <v>0</v>
      </c>
      <c r="J124" s="17">
        <f>N("GA Power")-IF(DAY(A124)=Budget!$G$9,Budget!$F$9,0)</f>
        <v>0</v>
      </c>
      <c r="K124" s="17">
        <f>N("Haircut")-IF(DAY(A124)=Budget!$G$10,Budget!$F$10,0)</f>
        <v>0</v>
      </c>
      <c r="L124" s="17">
        <f>N("Groceries")-IF(DAY(A124)=Budget!$G$6,Budget!$F$6,0)</f>
        <v>0</v>
      </c>
      <c r="M124" s="17">
        <f>N("Savings")-IF(DAY(A124)=Budget!$G$7,Budget!$F$7,0)</f>
        <v>0</v>
      </c>
      <c r="N124" s="17">
        <f>N("Car Insurance")-COUNTIF(Budget!$G$14, A124)*Budget!$F$14</f>
        <v>0</v>
      </c>
      <c r="O124" s="17">
        <f>N("Phone Bill")-COUNTIF(Budget!$G$15, A124)*Budget!$F$15</f>
        <v>0</v>
      </c>
      <c r="Q124" s="17">
        <f>N("Spotify")-IF(AND(DAY($A124)=Budget!$M$3, MONTH($A124)=Budget!$L$3),Budget!$K$3,0)</f>
        <v>0</v>
      </c>
      <c r="R124" s="17">
        <f>N("Spotify")-IF(AND(DAY($A124)=Budget!$M$4, MONTH($A124)=Budget!$L$4),Budget!$K$4,0)</f>
        <v>0</v>
      </c>
      <c r="S124" s="17">
        <f>N("Spotify")-IF(AND(DAY($A124)=Budget!$M$5, MONTH($A124)=Budget!$L$5),Budget!$K$5,0)</f>
        <v>0</v>
      </c>
      <c r="T124" s="17">
        <f>N("Amazon Prime")-IF(DAY(A124)=Budget!$Q$3,Budget!$P$3,0)</f>
        <v>0</v>
      </c>
      <c r="U124" s="17">
        <f>N("Audible")-IF(DAY(A124)=Budget!$Q$12,Budget!$P$12,0)</f>
        <v>0</v>
      </c>
      <c r="V124" s="17">
        <f>N("Crunchyroll")-IF(DAY(A124)=Budget!$Q$5,Budget!$P$5,0)</f>
        <v>0</v>
      </c>
      <c r="W124" s="17">
        <f>N("HBO Max")-IF(DAY(A124)=Budget!$Q$6,Budget!$P$6,0)</f>
        <v>0</v>
      </c>
      <c r="X124" s="17">
        <f>N("Netflix")-IF(DAY(A124)=Budget!$Q$7,Budget!$P$7,0)</f>
        <v>0</v>
      </c>
      <c r="Y124" s="17">
        <f>N("Spotify")-IF(DAY(A124)=Budget!$Q$8,Budget!$P$8,0)</f>
        <v>0</v>
      </c>
      <c r="Z124" s="17">
        <f>N("Truebill")-IF(DAY(A124)=Budget!$Q$9,Budget!$P$9,0)</f>
        <v>0</v>
      </c>
      <c r="AA124" s="6">
        <f t="shared" si="12"/>
        <v>0</v>
      </c>
    </row>
    <row r="125" spans="1:27" x14ac:dyDescent="0.3">
      <c r="A125" s="4">
        <f t="shared" si="14"/>
        <v>45769</v>
      </c>
      <c r="B125" s="2">
        <f t="shared" si="13"/>
        <v>5575.58</v>
      </c>
      <c r="C125" s="7">
        <f t="shared" si="15"/>
        <v>1</v>
      </c>
      <c r="D125" s="1">
        <v>0</v>
      </c>
      <c r="E125" s="17">
        <f>N("PAY-LM")+IF(WEEKDAY(A125)=Budget!$C$3,Budget!$B$3,0)</f>
        <v>0</v>
      </c>
      <c r="F125" s="17">
        <f>N("Rent")-IF(DAY(A125)=Budget!$G$3,Budget!$F$3,0)</f>
        <v>0</v>
      </c>
      <c r="G125" s="17">
        <f>N("Car")-IF(DAY(A125)=Budget!$G$4,Budget!$F$4+Budget!$H$4,0)</f>
        <v>0</v>
      </c>
      <c r="H125" s="17">
        <f>N("Mom Rent")-IF(DAY(A125)=Budget!$G$5,Budget!$F$5,0)</f>
        <v>0</v>
      </c>
      <c r="I125" s="17">
        <f>N("AT&amp;T")-IF(DAY(A125)=Budget!$G$8,Budget!$F$8,0)</f>
        <v>0</v>
      </c>
      <c r="J125" s="17">
        <f>N("GA Power")-IF(DAY(A125)=Budget!$G$9,Budget!$F$9,0)</f>
        <v>0</v>
      </c>
      <c r="K125" s="17">
        <f>N("Haircut")-IF(DAY(A125)=Budget!$G$10,Budget!$F$10,0)</f>
        <v>0</v>
      </c>
      <c r="L125" s="17">
        <f>N("Groceries")-IF(DAY(A125)=Budget!$G$6,Budget!$F$6,0)</f>
        <v>0</v>
      </c>
      <c r="M125" s="17">
        <f>N("Savings")-IF(DAY(A125)=Budget!$G$7,Budget!$F$7,0)</f>
        <v>0</v>
      </c>
      <c r="N125" s="17">
        <f>N("Car Insurance")-COUNTIF(Budget!$G$14, A125)*Budget!$F$14</f>
        <v>0</v>
      </c>
      <c r="O125" s="17">
        <f>N("Phone Bill")-COUNTIF(Budget!$G$15, A125)*Budget!$F$15</f>
        <v>0</v>
      </c>
      <c r="Q125" s="17">
        <f>N("Spotify")-IF(AND(DAY($A125)=Budget!$M$3, MONTH($A125)=Budget!$L$3),Budget!$K$3,0)</f>
        <v>0</v>
      </c>
      <c r="R125" s="17">
        <f>N("Spotify")-IF(AND(DAY($A125)=Budget!$M$4, MONTH($A125)=Budget!$L$4),Budget!$K$4,0)</f>
        <v>0</v>
      </c>
      <c r="S125" s="17">
        <f>N("Spotify")-IF(AND(DAY($A125)=Budget!$M$5, MONTH($A125)=Budget!$L$5),Budget!$K$5,0)</f>
        <v>0</v>
      </c>
      <c r="T125" s="17">
        <f>N("Amazon Prime")-IF(DAY(A125)=Budget!$Q$3,Budget!$P$3,0)</f>
        <v>0</v>
      </c>
      <c r="U125" s="17">
        <f>N("Audible")-IF(DAY(A125)=Budget!$Q$12,Budget!$P$12,0)</f>
        <v>0</v>
      </c>
      <c r="V125" s="17">
        <f>N("Crunchyroll")-IF(DAY(A125)=Budget!$Q$5,Budget!$P$5,0)</f>
        <v>0</v>
      </c>
      <c r="W125" s="17">
        <f>N("HBO Max")-IF(DAY(A125)=Budget!$Q$6,Budget!$P$6,0)</f>
        <v>0</v>
      </c>
      <c r="X125" s="17">
        <f>N("Netflix")-IF(DAY(A125)=Budget!$Q$7,Budget!$P$7,0)</f>
        <v>0</v>
      </c>
      <c r="Y125" s="17">
        <f>N("Spotify")-IF(DAY(A125)=Budget!$Q$8,Budget!$P$8,0)</f>
        <v>0</v>
      </c>
      <c r="Z125" s="17">
        <f>N("Truebill")-IF(DAY(A125)=Budget!$Q$9,Budget!$P$9,0)</f>
        <v>0</v>
      </c>
      <c r="AA125" s="6">
        <f t="shared" si="12"/>
        <v>0</v>
      </c>
    </row>
    <row r="126" spans="1:27" x14ac:dyDescent="0.3">
      <c r="A126" s="4">
        <f t="shared" si="14"/>
        <v>45770</v>
      </c>
      <c r="B126" s="2">
        <f t="shared" si="13"/>
        <v>5575.58</v>
      </c>
      <c r="C126" s="7">
        <f t="shared" si="15"/>
        <v>1</v>
      </c>
      <c r="D126" s="1">
        <v>0</v>
      </c>
      <c r="E126" s="17">
        <f>N("PAY-LM")+IF(WEEKDAY(A126)=Budget!$C$3,Budget!$B$3,0)</f>
        <v>0</v>
      </c>
      <c r="F126" s="17">
        <f>N("Rent")-IF(DAY(A126)=Budget!$G$3,Budget!$F$3,0)</f>
        <v>0</v>
      </c>
      <c r="G126" s="17">
        <f>N("Car")-IF(DAY(A126)=Budget!$G$4,Budget!$F$4+Budget!$H$4,0)</f>
        <v>0</v>
      </c>
      <c r="H126" s="17">
        <f>N("Mom Rent")-IF(DAY(A126)=Budget!$G$5,Budget!$F$5,0)</f>
        <v>0</v>
      </c>
      <c r="I126" s="17">
        <f>N("AT&amp;T")-IF(DAY(A126)=Budget!$G$8,Budget!$F$8,0)</f>
        <v>0</v>
      </c>
      <c r="J126" s="17">
        <f>N("GA Power")-IF(DAY(A126)=Budget!$G$9,Budget!$F$9,0)</f>
        <v>0</v>
      </c>
      <c r="K126" s="17">
        <f>N("Haircut")-IF(DAY(A126)=Budget!$G$10,Budget!$F$10,0)</f>
        <v>0</v>
      </c>
      <c r="L126" s="17">
        <f>N("Groceries")-IF(DAY(A126)=Budget!$G$6,Budget!$F$6,0)</f>
        <v>0</v>
      </c>
      <c r="M126" s="17">
        <f>N("Savings")-IF(DAY(A126)=Budget!$G$7,Budget!$F$7,0)</f>
        <v>0</v>
      </c>
      <c r="N126" s="17">
        <f>N("Car Insurance")-COUNTIF(Budget!$G$14, A126)*Budget!$F$14</f>
        <v>0</v>
      </c>
      <c r="O126" s="17">
        <f>N("Phone Bill")-COUNTIF(Budget!$G$15, A126)*Budget!$F$15</f>
        <v>0</v>
      </c>
      <c r="Q126" s="17">
        <f>N("Spotify")-IF(AND(DAY($A126)=Budget!$M$3, MONTH($A126)=Budget!$L$3),Budget!$K$3,0)</f>
        <v>0</v>
      </c>
      <c r="R126" s="17">
        <f>N("Spotify")-IF(AND(DAY($A126)=Budget!$M$4, MONTH($A126)=Budget!$L$4),Budget!$K$4,0)</f>
        <v>0</v>
      </c>
      <c r="S126" s="17">
        <f>N("Spotify")-IF(AND(DAY($A126)=Budget!$M$5, MONTH($A126)=Budget!$L$5),Budget!$K$5,0)</f>
        <v>0</v>
      </c>
      <c r="T126" s="17">
        <f>N("Amazon Prime")-IF(DAY(A126)=Budget!$Q$3,Budget!$P$3,0)</f>
        <v>0</v>
      </c>
      <c r="U126" s="17">
        <f>N("Audible")-IF(DAY(A126)=Budget!$Q$12,Budget!$P$12,0)</f>
        <v>0</v>
      </c>
      <c r="V126" s="17">
        <f>N("Crunchyroll")-IF(DAY(A126)=Budget!$Q$5,Budget!$P$5,0)</f>
        <v>0</v>
      </c>
      <c r="W126" s="17">
        <f>N("HBO Max")-IF(DAY(A126)=Budget!$Q$6,Budget!$P$6,0)</f>
        <v>0</v>
      </c>
      <c r="X126" s="17">
        <f>N("Netflix")-IF(DAY(A126)=Budget!$Q$7,Budget!$P$7,0)</f>
        <v>0</v>
      </c>
      <c r="Y126" s="17">
        <f>N("Spotify")-IF(DAY(A126)=Budget!$Q$8,Budget!$P$8,0)</f>
        <v>0</v>
      </c>
      <c r="Z126" s="17">
        <f>N("Truebill")-IF(DAY(A126)=Budget!$Q$9,Budget!$P$9,0)</f>
        <v>0</v>
      </c>
      <c r="AA126" s="6">
        <f t="shared" si="12"/>
        <v>0</v>
      </c>
    </row>
    <row r="127" spans="1:27" x14ac:dyDescent="0.3">
      <c r="A127" s="4">
        <f t="shared" si="14"/>
        <v>45771</v>
      </c>
      <c r="B127" s="2">
        <f t="shared" si="13"/>
        <v>5575.58</v>
      </c>
      <c r="C127" s="7">
        <f t="shared" si="15"/>
        <v>1</v>
      </c>
      <c r="D127" s="1">
        <v>0</v>
      </c>
      <c r="E127" s="17">
        <f>N("PAY-LM")+IF(WEEKDAY(A127)=Budget!$C$3,Budget!$B$3,0)</f>
        <v>0</v>
      </c>
      <c r="F127" s="17">
        <f>N("Rent")-IF(DAY(A127)=Budget!$G$3,Budget!$F$3,0)</f>
        <v>0</v>
      </c>
      <c r="G127" s="17">
        <f>N("Car")-IF(DAY(A127)=Budget!$G$4,Budget!$F$4+Budget!$H$4,0)</f>
        <v>0</v>
      </c>
      <c r="H127" s="17">
        <f>N("Mom Rent")-IF(DAY(A127)=Budget!$G$5,Budget!$F$5,0)</f>
        <v>0</v>
      </c>
      <c r="I127" s="17">
        <f>N("AT&amp;T")-IF(DAY(A127)=Budget!$G$8,Budget!$F$8,0)</f>
        <v>0</v>
      </c>
      <c r="J127" s="17">
        <f>N("GA Power")-IF(DAY(A127)=Budget!$G$9,Budget!$F$9,0)</f>
        <v>0</v>
      </c>
      <c r="K127" s="17">
        <f>N("Haircut")-IF(DAY(A127)=Budget!$G$10,Budget!$F$10,0)</f>
        <v>0</v>
      </c>
      <c r="L127" s="17">
        <f>N("Groceries")-IF(DAY(A127)=Budget!$G$6,Budget!$F$6,0)</f>
        <v>0</v>
      </c>
      <c r="M127" s="17">
        <f>N("Savings")-IF(DAY(A127)=Budget!$G$7,Budget!$F$7,0)</f>
        <v>0</v>
      </c>
      <c r="N127" s="17">
        <f>N("Car Insurance")-COUNTIF(Budget!$G$14, A127)*Budget!$F$14</f>
        <v>0</v>
      </c>
      <c r="O127" s="17">
        <f>N("Phone Bill")-COUNTIF(Budget!$G$15, A127)*Budget!$F$15</f>
        <v>0</v>
      </c>
      <c r="Q127" s="17">
        <f>N("Spotify")-IF(AND(DAY($A127)=Budget!$M$3, MONTH($A127)=Budget!$L$3),Budget!$K$3,0)</f>
        <v>0</v>
      </c>
      <c r="R127" s="17">
        <f>N("Spotify")-IF(AND(DAY($A127)=Budget!$M$4, MONTH($A127)=Budget!$L$4),Budget!$K$4,0)</f>
        <v>0</v>
      </c>
      <c r="S127" s="17">
        <f>N("Spotify")-IF(AND(DAY($A127)=Budget!$M$5, MONTH($A127)=Budget!$L$5),Budget!$K$5,0)</f>
        <v>0</v>
      </c>
      <c r="T127" s="17">
        <f>N("Amazon Prime")-IF(DAY(A127)=Budget!$Q$3,Budget!$P$3,0)</f>
        <v>0</v>
      </c>
      <c r="U127" s="17">
        <f>N("Audible")-IF(DAY(A127)=Budget!$Q$12,Budget!$P$12,0)</f>
        <v>0</v>
      </c>
      <c r="V127" s="17">
        <f>N("Crunchyroll")-IF(DAY(A127)=Budget!$Q$5,Budget!$P$5,0)</f>
        <v>0</v>
      </c>
      <c r="W127" s="17">
        <f>N("HBO Max")-IF(DAY(A127)=Budget!$Q$6,Budget!$P$6,0)</f>
        <v>0</v>
      </c>
      <c r="X127" s="17">
        <f>N("Netflix")-IF(DAY(A127)=Budget!$Q$7,Budget!$P$7,0)</f>
        <v>0</v>
      </c>
      <c r="Y127" s="17">
        <f>N("Spotify")-IF(DAY(A127)=Budget!$Q$8,Budget!$P$8,0)</f>
        <v>0</v>
      </c>
      <c r="Z127" s="17">
        <f>N("Truebill")-IF(DAY(A127)=Budget!$Q$9,Budget!$P$9,0)</f>
        <v>0</v>
      </c>
      <c r="AA127" s="6">
        <f t="shared" si="12"/>
        <v>0</v>
      </c>
    </row>
    <row r="128" spans="1:27" x14ac:dyDescent="0.3">
      <c r="A128" s="4">
        <f t="shared" si="14"/>
        <v>45772</v>
      </c>
      <c r="B128" s="2">
        <f t="shared" si="13"/>
        <v>7028.58</v>
      </c>
      <c r="C128" s="7">
        <f t="shared" si="15"/>
        <v>2</v>
      </c>
      <c r="D128" s="1">
        <v>0</v>
      </c>
      <c r="E128" s="17">
        <f>N("PAY-LM")+IF(WEEKDAY(A128)=Budget!$C$3,Budget!$B$3,0)</f>
        <v>1453</v>
      </c>
      <c r="F128" s="17">
        <f>N("Rent")-IF(DAY(A128)=Budget!$G$3,Budget!$F$3,0)</f>
        <v>0</v>
      </c>
      <c r="G128" s="17">
        <f>N("Car")-IF(DAY(A128)=Budget!$G$4,Budget!$F$4+Budget!$H$4,0)</f>
        <v>0</v>
      </c>
      <c r="H128" s="17">
        <f>N("Mom Rent")-IF(DAY(A128)=Budget!$G$5,Budget!$F$5,0)</f>
        <v>0</v>
      </c>
      <c r="I128" s="17">
        <f>N("AT&amp;T")-IF(DAY(A128)=Budget!$G$8,Budget!$F$8,0)</f>
        <v>0</v>
      </c>
      <c r="J128" s="17">
        <f>N("GA Power")-IF(DAY(A128)=Budget!$G$9,Budget!$F$9,0)</f>
        <v>0</v>
      </c>
      <c r="K128" s="17">
        <f>N("Haircut")-IF(DAY(A128)=Budget!$G$10,Budget!$F$10,0)</f>
        <v>0</v>
      </c>
      <c r="L128" s="17">
        <f>N("Groceries")-IF(DAY(A128)=Budget!$G$6,Budget!$F$6,0)</f>
        <v>0</v>
      </c>
      <c r="M128" s="17">
        <f>N("Savings")-IF(DAY(A128)=Budget!$G$7,Budget!$F$7,0)</f>
        <v>0</v>
      </c>
      <c r="N128" s="17">
        <f>N("Car Insurance")-COUNTIF(Budget!$G$14, A128)*Budget!$F$14</f>
        <v>0</v>
      </c>
      <c r="O128" s="17">
        <f>N("Phone Bill")-COUNTIF(Budget!$G$15, A128)*Budget!$F$15</f>
        <v>0</v>
      </c>
      <c r="Q128" s="17">
        <f>N("Spotify")-IF(AND(DAY($A128)=Budget!$M$3, MONTH($A128)=Budget!$L$3),Budget!$K$3,0)</f>
        <v>0</v>
      </c>
      <c r="R128" s="17">
        <f>N("Spotify")-IF(AND(DAY($A128)=Budget!$M$4, MONTH($A128)=Budget!$L$4),Budget!$K$4,0)</f>
        <v>0</v>
      </c>
      <c r="S128" s="17">
        <f>N("Spotify")-IF(AND(DAY($A128)=Budget!$M$5, MONTH($A128)=Budget!$L$5),Budget!$K$5,0)</f>
        <v>0</v>
      </c>
      <c r="T128" s="17">
        <f>N("Amazon Prime")-IF(DAY(A128)=Budget!$Q$3,Budget!$P$3,0)</f>
        <v>0</v>
      </c>
      <c r="U128" s="17">
        <f>N("Audible")-IF(DAY(A128)=Budget!$Q$12,Budget!$P$12,0)</f>
        <v>0</v>
      </c>
      <c r="V128" s="17">
        <f>N("Crunchyroll")-IF(DAY(A128)=Budget!$Q$5,Budget!$P$5,0)</f>
        <v>0</v>
      </c>
      <c r="W128" s="17">
        <f>N("HBO Max")-IF(DAY(A128)=Budget!$Q$6,Budget!$P$6,0)</f>
        <v>0</v>
      </c>
      <c r="X128" s="17">
        <f>N("Netflix")-IF(DAY(A128)=Budget!$Q$7,Budget!$P$7,0)</f>
        <v>0</v>
      </c>
      <c r="Y128" s="17">
        <f>N("Spotify")-IF(DAY(A128)=Budget!$Q$8,Budget!$P$8,0)</f>
        <v>0</v>
      </c>
      <c r="Z128" s="17">
        <f>N("Truebill")-IF(DAY(A128)=Budget!$Q$9,Budget!$P$9,0)</f>
        <v>0</v>
      </c>
      <c r="AA128" s="6">
        <f t="shared" si="12"/>
        <v>1453</v>
      </c>
    </row>
    <row r="129" spans="1:30" x14ac:dyDescent="0.3">
      <c r="A129" s="4">
        <f t="shared" si="14"/>
        <v>45773</v>
      </c>
      <c r="B129" s="2">
        <f t="shared" si="13"/>
        <v>6628.58</v>
      </c>
      <c r="C129" s="7">
        <f t="shared" si="15"/>
        <v>0</v>
      </c>
      <c r="D129" s="1">
        <v>0</v>
      </c>
      <c r="E129" s="17">
        <f>N("PAY-LM")+IF(WEEKDAY(A129)=Budget!$C$3,Budget!$B$3,0)</f>
        <v>0</v>
      </c>
      <c r="F129" s="17">
        <f>N("Rent")-IF(DAY(A129)=Budget!$G$3,Budget!$F$3,0)</f>
        <v>0</v>
      </c>
      <c r="G129" s="17">
        <f>N("Car")-IF(DAY(A129)=Budget!$G$4,Budget!$F$4+Budget!$H$4,0)</f>
        <v>0</v>
      </c>
      <c r="H129" s="17">
        <f>N("Mom Rent")-IF(DAY(A129)=Budget!$G$5,Budget!$F$5,0)</f>
        <v>0</v>
      </c>
      <c r="I129" s="17">
        <f>N("AT&amp;T")-IF(DAY(A129)=Budget!$G$8,Budget!$F$8,0)</f>
        <v>0</v>
      </c>
      <c r="J129" s="17">
        <f>N("GA Power")-IF(DAY(A129)=Budget!$G$9,Budget!$F$9,0)</f>
        <v>0</v>
      </c>
      <c r="K129" s="17">
        <f>N("Haircut")-IF(DAY(A129)=Budget!$G$10,Budget!$F$10,0)</f>
        <v>-400</v>
      </c>
      <c r="L129" s="17">
        <f>N("Groceries")-IF(DAY(A129)=Budget!$G$6,Budget!$F$6,0)</f>
        <v>0</v>
      </c>
      <c r="M129" s="17">
        <f>N("Savings")-IF(DAY(A129)=Budget!$G$7,Budget!$F$7,0)</f>
        <v>0</v>
      </c>
      <c r="N129" s="17">
        <f>N("Car Insurance")-COUNTIF(Budget!$G$14, A129)*Budget!$F$14</f>
        <v>0</v>
      </c>
      <c r="O129" s="17">
        <f>N("Phone Bill")-COUNTIF(Budget!$G$15, A129)*Budget!$F$15</f>
        <v>0</v>
      </c>
      <c r="Q129" s="17">
        <f>N("Spotify")-IF(AND(DAY($A129)=Budget!$M$3, MONTH($A129)=Budget!$L$3),Budget!$K$3,0)</f>
        <v>0</v>
      </c>
      <c r="R129" s="17">
        <f>N("Spotify")-IF(AND(DAY($A129)=Budget!$M$4, MONTH($A129)=Budget!$L$4),Budget!$K$4,0)</f>
        <v>0</v>
      </c>
      <c r="S129" s="17">
        <f>N("Spotify")-IF(AND(DAY($A129)=Budget!$M$5, MONTH($A129)=Budget!$L$5),Budget!$K$5,0)</f>
        <v>0</v>
      </c>
      <c r="T129" s="17">
        <f>N("Amazon Prime")-IF(DAY(A129)=Budget!$Q$3,Budget!$P$3,0)</f>
        <v>0</v>
      </c>
      <c r="U129" s="17">
        <f>N("Audible")-IF(DAY(A129)=Budget!$Q$12,Budget!$P$12,0)</f>
        <v>0</v>
      </c>
      <c r="V129" s="17">
        <f>N("Crunchyroll")-IF(DAY(A129)=Budget!$Q$5,Budget!$P$5,0)</f>
        <v>0</v>
      </c>
      <c r="W129" s="17">
        <f>N("HBO Max")-IF(DAY(A129)=Budget!$Q$6,Budget!$P$6,0)</f>
        <v>0</v>
      </c>
      <c r="X129" s="17">
        <f>N("Netflix")-IF(DAY(A129)=Budget!$Q$7,Budget!$P$7,0)</f>
        <v>0</v>
      </c>
      <c r="Y129" s="17">
        <f>N("Spotify")-IF(DAY(A129)=Budget!$Q$8,Budget!$P$8,0)</f>
        <v>0</v>
      </c>
      <c r="Z129" s="17">
        <f>N("Truebill")-IF(DAY(A129)=Budget!$Q$9,Budget!$P$9,0)</f>
        <v>0</v>
      </c>
      <c r="AA129" s="6">
        <f t="shared" si="12"/>
        <v>-400</v>
      </c>
    </row>
    <row r="130" spans="1:30" x14ac:dyDescent="0.3">
      <c r="A130" s="4">
        <f t="shared" si="14"/>
        <v>45774</v>
      </c>
      <c r="B130" s="2">
        <f t="shared" si="13"/>
        <v>6628.58</v>
      </c>
      <c r="C130" s="7">
        <f t="shared" si="15"/>
        <v>1</v>
      </c>
      <c r="D130" s="1">
        <v>0</v>
      </c>
      <c r="E130" s="17">
        <f>N("PAY-LM")+IF(WEEKDAY(A130)=Budget!$C$3,Budget!$B$3,0)</f>
        <v>0</v>
      </c>
      <c r="F130" s="17">
        <f>N("Rent")-IF(DAY(A130)=Budget!$G$3,Budget!$F$3,0)</f>
        <v>0</v>
      </c>
      <c r="G130" s="17">
        <f>N("Car")-IF(DAY(A130)=Budget!$G$4,Budget!$F$4+Budget!$H$4,0)</f>
        <v>0</v>
      </c>
      <c r="H130" s="17">
        <f>N("Mom Rent")-IF(DAY(A130)=Budget!$G$5,Budget!$F$5,0)</f>
        <v>0</v>
      </c>
      <c r="I130" s="17">
        <f>N("AT&amp;T")-IF(DAY(A130)=Budget!$G$8,Budget!$F$8,0)</f>
        <v>0</v>
      </c>
      <c r="J130" s="17">
        <f>N("GA Power")-IF(DAY(A130)=Budget!$G$9,Budget!$F$9,0)</f>
        <v>0</v>
      </c>
      <c r="K130" s="17">
        <f>N("Haircut")-IF(DAY(A130)=Budget!$G$10,Budget!$F$10,0)</f>
        <v>0</v>
      </c>
      <c r="L130" s="17">
        <f>N("Groceries")-IF(DAY(A130)=Budget!$G$6,Budget!$F$6,0)</f>
        <v>0</v>
      </c>
      <c r="M130" s="17">
        <f>N("Savings")-IF(DAY(A130)=Budget!$G$7,Budget!$F$7,0)</f>
        <v>0</v>
      </c>
      <c r="N130" s="17">
        <f>N("Car Insurance")-COUNTIF(Budget!$G$14, A130)*Budget!$F$14</f>
        <v>0</v>
      </c>
      <c r="O130" s="17">
        <f>N("Phone Bill")-COUNTIF(Budget!$G$15, A130)*Budget!$F$15</f>
        <v>0</v>
      </c>
      <c r="Q130" s="17">
        <f>N("Spotify")-IF(AND(DAY($A130)=Budget!$M$3, MONTH($A130)=Budget!$L$3),Budget!$K$3,0)</f>
        <v>0</v>
      </c>
      <c r="R130" s="17">
        <f>N("Spotify")-IF(AND(DAY($A130)=Budget!$M$4, MONTH($A130)=Budget!$L$4),Budget!$K$4,0)</f>
        <v>0</v>
      </c>
      <c r="S130" s="17">
        <f>N("Spotify")-IF(AND(DAY($A130)=Budget!$M$5, MONTH($A130)=Budget!$L$5),Budget!$K$5,0)</f>
        <v>0</v>
      </c>
      <c r="T130" s="17">
        <f>N("Amazon Prime")-IF(DAY(A130)=Budget!$Q$3,Budget!$P$3,0)</f>
        <v>0</v>
      </c>
      <c r="U130" s="17">
        <f>N("Audible")-IF(DAY(A130)=Budget!$Q$12,Budget!$P$12,0)</f>
        <v>0</v>
      </c>
      <c r="V130" s="17">
        <f>N("Crunchyroll")-IF(DAY(A130)=Budget!$Q$5,Budget!$P$5,0)</f>
        <v>0</v>
      </c>
      <c r="W130" s="17">
        <f>N("HBO Max")-IF(DAY(A130)=Budget!$Q$6,Budget!$P$6,0)</f>
        <v>0</v>
      </c>
      <c r="X130" s="17">
        <f>N("Netflix")-IF(DAY(A130)=Budget!$Q$7,Budget!$P$7,0)</f>
        <v>0</v>
      </c>
      <c r="Y130" s="17">
        <f>N("Spotify")-IF(DAY(A130)=Budget!$Q$8,Budget!$P$8,0)</f>
        <v>0</v>
      </c>
      <c r="Z130" s="17">
        <f>N("Truebill")-IF(DAY(A130)=Budget!$Q$9,Budget!$P$9,0)</f>
        <v>0</v>
      </c>
      <c r="AA130" s="6">
        <f t="shared" si="12"/>
        <v>0</v>
      </c>
    </row>
    <row r="131" spans="1:30" x14ac:dyDescent="0.3">
      <c r="A131" s="4">
        <f t="shared" si="14"/>
        <v>45775</v>
      </c>
      <c r="B131" s="2">
        <f t="shared" si="13"/>
        <v>5478.58</v>
      </c>
      <c r="C131" s="7">
        <f t="shared" si="15"/>
        <v>0</v>
      </c>
      <c r="D131" s="1">
        <v>0</v>
      </c>
      <c r="E131" s="17">
        <f>N("PAY-LM")+IF(WEEKDAY(A131)=Budget!$C$3,Budget!$B$3,0)</f>
        <v>0</v>
      </c>
      <c r="F131" s="17">
        <f>N("Rent")-IF(DAY(A131)=Budget!$G$3,Budget!$F$3,0)</f>
        <v>0</v>
      </c>
      <c r="G131" s="17">
        <f>N("Car")-IF(DAY(A131)=Budget!$G$4,Budget!$F$4+Budget!$H$4,0)</f>
        <v>0</v>
      </c>
      <c r="H131" s="17">
        <f>N("Mom Rent")-IF(DAY(A131)=Budget!$G$5,Budget!$F$5,0)</f>
        <v>0</v>
      </c>
      <c r="I131" s="17">
        <f>N("AT&amp;T")-IF(DAY(A131)=Budget!$G$8,Budget!$F$8,0)</f>
        <v>0</v>
      </c>
      <c r="J131" s="17">
        <f>N("GA Power")-IF(DAY(A131)=Budget!$G$9,Budget!$F$9,0)</f>
        <v>0</v>
      </c>
      <c r="K131" s="17">
        <f>N("Haircut")-IF(DAY(A131)=Budget!$G$10,Budget!$F$10,0)</f>
        <v>0</v>
      </c>
      <c r="L131" s="17">
        <f>N("Groceries")-IF(DAY(A131)=Budget!$G$6,Budget!$F$6,0)</f>
        <v>0</v>
      </c>
      <c r="M131" s="17">
        <f>N("Savings")-IF(DAY(A131)=Budget!$G$7,Budget!$F$7,0)</f>
        <v>-1000</v>
      </c>
      <c r="N131" s="17">
        <f>N("Car Insurance")-COUNTIF(Budget!$G$14, A131)*Budget!$F$14</f>
        <v>0</v>
      </c>
      <c r="O131" s="17">
        <f>N("Phone Bill")-COUNTIF(Budget!$G$15, A131)*Budget!$F$15</f>
        <v>0</v>
      </c>
      <c r="Q131" s="17">
        <f>N("Spotify")-IF(AND(DAY($A131)=Budget!$M$3, MONTH($A131)=Budget!$L$3),Budget!$K$3,0)</f>
        <v>0</v>
      </c>
      <c r="R131" s="17">
        <f>N("Spotify")-IF(AND(DAY($A131)=Budget!$M$4, MONTH($A131)=Budget!$L$4),Budget!$K$4,0)</f>
        <v>0</v>
      </c>
      <c r="S131" s="17">
        <f>N("Spotify")-IF(AND(DAY($A131)=Budget!$M$5, MONTH($A131)=Budget!$L$5),Budget!$K$5,0)</f>
        <v>0</v>
      </c>
      <c r="T131" s="17">
        <f>N("Amazon Prime")-IF(DAY(A131)=Budget!$Q$3,Budget!$P$3,0)</f>
        <v>0</v>
      </c>
      <c r="U131" s="17">
        <f>N("Audible")-IF(DAY(A131)=Budget!$Q$12,Budget!$P$12,0)</f>
        <v>0</v>
      </c>
      <c r="V131" s="17">
        <f>N("Crunchyroll")-IF(DAY(A131)=Budget!$Q$5,Budget!$P$5,0)</f>
        <v>0</v>
      </c>
      <c r="W131" s="17">
        <f>N("HBO Max")-IF(DAY(A131)=Budget!$Q$6,Budget!$P$6,0)</f>
        <v>0</v>
      </c>
      <c r="X131" s="17">
        <f>N("Netflix")-IF(DAY(A131)=Budget!$Q$7,Budget!$P$7,0)</f>
        <v>0</v>
      </c>
      <c r="Y131" s="17">
        <f>N("Spotify")-IF(DAY(A131)=Budget!$Q$8,Budget!$P$8,0)</f>
        <v>-150</v>
      </c>
      <c r="Z131" s="17">
        <f>N("Truebill")-IF(DAY(A131)=Budget!$Q$9,Budget!$P$9,0)</f>
        <v>0</v>
      </c>
      <c r="AA131" s="6">
        <f t="shared" si="12"/>
        <v>-1150</v>
      </c>
    </row>
    <row r="132" spans="1:30" x14ac:dyDescent="0.3">
      <c r="A132" s="4">
        <f t="shared" si="14"/>
        <v>45776</v>
      </c>
      <c r="B132" s="2">
        <f t="shared" si="13"/>
        <v>5453.98</v>
      </c>
      <c r="C132" s="7">
        <f>IF(B132&gt;B131,2,IF(B132=B131, 1,0))</f>
        <v>0</v>
      </c>
      <c r="D132" s="1">
        <v>0</v>
      </c>
      <c r="E132" s="17">
        <f>N("PAY-LM")+IF(WEEKDAY(A132)=Budget!$C$3,Budget!$B$3,0)</f>
        <v>0</v>
      </c>
      <c r="F132" s="17">
        <f>N("Rent")-IF(DAY(A132)=Budget!$G$3,Budget!$F$3,0)</f>
        <v>0</v>
      </c>
      <c r="G132" s="17">
        <f>N("Car")-IF(DAY(A132)=Budget!$G$4,Budget!$F$4+Budget!$H$4,0)</f>
        <v>0</v>
      </c>
      <c r="H132" s="17">
        <f>N("Mom Rent")-IF(DAY(A132)=Budget!$G$5,Budget!$F$5,0)</f>
        <v>0</v>
      </c>
      <c r="I132" s="17">
        <f>N("AT&amp;T")-IF(DAY(A132)=Budget!$G$8,Budget!$F$8,0)</f>
        <v>0</v>
      </c>
      <c r="J132" s="17">
        <f>N("GA Power")-IF(DAY(A132)=Budget!$G$9,Budget!$F$9,0)</f>
        <v>0</v>
      </c>
      <c r="K132" s="17">
        <f>N("Haircut")-IF(DAY(A132)=Budget!$G$10,Budget!$F$10,0)</f>
        <v>0</v>
      </c>
      <c r="L132" s="17">
        <f>N("Groceries")-IF(DAY(A132)=Budget!$G$6,Budget!$F$6,0)</f>
        <v>0</v>
      </c>
      <c r="M132" s="17">
        <f>N("Savings")-IF(DAY(A132)=Budget!$G$7,Budget!$F$7,0)</f>
        <v>0</v>
      </c>
      <c r="N132" s="17">
        <f>N("Car Insurance")-COUNTIF(Budget!$G$14, A132)*Budget!$F$14</f>
        <v>0</v>
      </c>
      <c r="O132" s="17">
        <f>N("Phone Bill")-COUNTIF(Budget!$G$15, A132)*Budget!$F$15</f>
        <v>0</v>
      </c>
      <c r="Q132" s="17">
        <f>N("Spotify")-IF(AND(DAY($A132)=Budget!$M$3, MONTH($A132)=Budget!$L$3),Budget!$K$3,0)</f>
        <v>0</v>
      </c>
      <c r="R132" s="17">
        <f>N("Spotify")-IF(AND(DAY($A132)=Budget!$M$4, MONTH($A132)=Budget!$L$4),Budget!$K$4,0)</f>
        <v>0</v>
      </c>
      <c r="S132" s="17">
        <f>N("Spotify")-IF(AND(DAY($A132)=Budget!$M$5, MONTH($A132)=Budget!$L$5),Budget!$K$5,0)</f>
        <v>0</v>
      </c>
      <c r="T132" s="17">
        <f>N("Amazon Prime")-IF(DAY(A132)=Budget!$Q$3,Budget!$P$3,0)</f>
        <v>0</v>
      </c>
      <c r="U132" s="17">
        <f>N("Audible")-IF(DAY(A132)=Budget!$Q$12,Budget!$P$12,0)</f>
        <v>0</v>
      </c>
      <c r="V132" s="17">
        <f>N("Crunchyroll")-IF(DAY(A132)=Budget!$Q$5,Budget!$P$5,0)</f>
        <v>-24.6</v>
      </c>
      <c r="W132" s="17">
        <f>N("HBO Max")-IF(DAY(A132)=Budget!$Q$6,Budget!$P$6,0)</f>
        <v>0</v>
      </c>
      <c r="X132" s="17">
        <f>N("Netflix")-IF(DAY(A132)=Budget!$Q$7,Budget!$P$7,0)</f>
        <v>0</v>
      </c>
      <c r="Y132" s="17">
        <f>N("Spotify")-IF(DAY(A132)=Budget!$Q$8,Budget!$P$8,0)</f>
        <v>0</v>
      </c>
      <c r="Z132" s="17">
        <f>N("Truebill")-IF(DAY(A132)=Budget!$Q$9,Budget!$P$9,0)</f>
        <v>0</v>
      </c>
      <c r="AA132" s="6">
        <f t="shared" si="12"/>
        <v>-24.6</v>
      </c>
    </row>
    <row r="133" spans="1:30" x14ac:dyDescent="0.3">
      <c r="A133" s="4">
        <f t="shared" si="14"/>
        <v>45777</v>
      </c>
      <c r="B133" s="2">
        <f t="shared" si="13"/>
        <v>5453.98</v>
      </c>
      <c r="C133" s="7">
        <f>IF(B133&gt;B132,2,IF(B133=B132, 1,0))</f>
        <v>1</v>
      </c>
      <c r="D133" s="1">
        <v>0</v>
      </c>
      <c r="E133" s="17">
        <f>N("PAY-LM")+IF(WEEKDAY(A133)=Budget!$C$3,Budget!$B$3,0)</f>
        <v>0</v>
      </c>
      <c r="F133" s="17">
        <f>N("Rent")-IF(DAY(A133)=Budget!$G$3,Budget!$F$3,0)</f>
        <v>0</v>
      </c>
      <c r="G133" s="17">
        <f>N("Car")-IF(DAY(A133)=Budget!$G$4,Budget!$F$4+Budget!$H$4,0)</f>
        <v>0</v>
      </c>
      <c r="H133" s="17">
        <f>N("Mom Rent")-IF(DAY(A133)=Budget!$G$5,Budget!$F$5,0)</f>
        <v>0</v>
      </c>
      <c r="I133" s="17">
        <f>N("AT&amp;T")-IF(DAY(A133)=Budget!$G$8,Budget!$F$8,0)</f>
        <v>0</v>
      </c>
      <c r="J133" s="17">
        <f>N("GA Power")-IF(DAY(A133)=Budget!$G$9,Budget!$F$9,0)</f>
        <v>0</v>
      </c>
      <c r="K133" s="17">
        <f>N("Haircut")-IF(DAY(A133)=Budget!$G$10,Budget!$F$10,0)</f>
        <v>0</v>
      </c>
      <c r="L133" s="17">
        <f>N("Groceries")-IF(DAY(A133)=Budget!$G$6,Budget!$F$6,0)</f>
        <v>0</v>
      </c>
      <c r="M133" s="17">
        <f>N("Savings")-IF(DAY(A133)=Budget!$G$7,Budget!$F$7,0)</f>
        <v>0</v>
      </c>
      <c r="N133" s="17">
        <f>N("Car Insurance")-COUNTIF(Budget!$G$14, A133)*Budget!$F$14</f>
        <v>0</v>
      </c>
      <c r="O133" s="17">
        <f>N("Phone Bill")-COUNTIF(Budget!$G$15, A133)*Budget!$F$15</f>
        <v>0</v>
      </c>
      <c r="Q133" s="17">
        <f>N("Spotify")-IF(AND(DAY($A133)=Budget!$M$3, MONTH($A133)=Budget!$L$3),Budget!$K$3,0)</f>
        <v>0</v>
      </c>
      <c r="R133" s="17">
        <f>N("Spotify")-IF(AND(DAY($A133)=Budget!$M$4, MONTH($A133)=Budget!$L$4),Budget!$K$4,0)</f>
        <v>0</v>
      </c>
      <c r="S133" s="17">
        <f>N("Spotify")-IF(AND(DAY($A133)=Budget!$M$5, MONTH($A133)=Budget!$L$5),Budget!$K$5,0)</f>
        <v>0</v>
      </c>
      <c r="T133" s="17">
        <f>N("Amazon Prime")-IF(DAY(A133)=Budget!$Q$3,Budget!$P$3,0)</f>
        <v>0</v>
      </c>
      <c r="U133" s="17">
        <f>N("Audible")-IF(DAY(A133)=Budget!$Q$12,Budget!$P$12,0)</f>
        <v>0</v>
      </c>
      <c r="V133" s="17">
        <f>N("Crunchyroll")-IF(DAY(A133)=Budget!$Q$5,Budget!$P$5,0)</f>
        <v>0</v>
      </c>
      <c r="W133" s="17">
        <f>N("HBO Max")-IF(DAY(A133)=Budget!$Q$6,Budget!$P$6,0)</f>
        <v>0</v>
      </c>
      <c r="X133" s="17">
        <f>N("Netflix")-IF(DAY(A133)=Budget!$Q$7,Budget!$P$7,0)</f>
        <v>0</v>
      </c>
      <c r="Y133" s="17">
        <f>N("Spotify")-IF(DAY(A133)=Budget!$Q$8,Budget!$P$8,0)</f>
        <v>0</v>
      </c>
      <c r="Z133" s="17">
        <f>N("Truebill")-IF(DAY(A133)=Budget!$Q$9,Budget!$P$9,0)</f>
        <v>0</v>
      </c>
      <c r="AA133" s="6">
        <f t="shared" si="12"/>
        <v>0</v>
      </c>
    </row>
    <row r="136" spans="1:30" x14ac:dyDescent="0.3">
      <c r="D136" s="40" t="s">
        <v>17</v>
      </c>
      <c r="E136" s="41" t="s">
        <v>15</v>
      </c>
      <c r="F136" s="41"/>
      <c r="G136" s="41"/>
      <c r="H136" s="41"/>
      <c r="I136" s="41"/>
      <c r="J136" s="41"/>
      <c r="K136" s="41"/>
      <c r="L136" s="41"/>
      <c r="M136" s="41"/>
      <c r="N136" s="42" t="str">
        <f>Budget!$E$12</f>
        <v>Annual Expenses</v>
      </c>
      <c r="O136" s="42"/>
      <c r="Q136" s="43" t="s">
        <v>36</v>
      </c>
      <c r="R136" s="43"/>
      <c r="S136" s="43"/>
      <c r="T136" s="41" t="s">
        <v>8</v>
      </c>
      <c r="U136" s="41"/>
      <c r="V136" s="41"/>
      <c r="W136" s="41"/>
      <c r="X136" s="41"/>
      <c r="Y136" s="41"/>
      <c r="Z136" s="41"/>
      <c r="AA136" s="10" t="s">
        <v>16</v>
      </c>
      <c r="AC136" s="6">
        <f>SUMIF(D138:Z168,"&lt;0")</f>
        <v>-7120.42</v>
      </c>
      <c r="AD136" s="6">
        <f>SUM(E138:E168)</f>
        <v>7265</v>
      </c>
    </row>
    <row r="137" spans="1:30" x14ac:dyDescent="0.3">
      <c r="A137" s="39">
        <f>EDATE(A103,1)</f>
        <v>45778</v>
      </c>
      <c r="B137" s="39"/>
      <c r="D137" s="40"/>
      <c r="E137" s="18" t="str">
        <f>Budget!$A$3</f>
        <v>PAY-LM</v>
      </c>
      <c r="F137" t="str">
        <f>Budget!$E$3</f>
        <v>Rent</v>
      </c>
      <c r="G137" t="str">
        <f>Budget!$E$4</f>
        <v>Car</v>
      </c>
      <c r="H137" t="str">
        <f>Budget!$E$5</f>
        <v>Mom Rent</v>
      </c>
      <c r="I137" t="str">
        <f>Budget!$E$8</f>
        <v>AT&amp;T</v>
      </c>
      <c r="J137" t="str">
        <f>Budget!$E$9</f>
        <v>GA Power</v>
      </c>
      <c r="K137" t="str">
        <f>Budget!$E$10</f>
        <v>TH</v>
      </c>
      <c r="L137" t="str">
        <f>Budget!$E$6</f>
        <v>Groceries</v>
      </c>
      <c r="M137" s="16" t="str">
        <f>Budget!$E$7</f>
        <v>Savings</v>
      </c>
      <c r="N137" t="str">
        <f>Budget!$E$14</f>
        <v>Car Insurance</v>
      </c>
      <c r="O137" t="str">
        <f>Budget!$E$15</f>
        <v>Phone Bill</v>
      </c>
      <c r="Q137" t="str">
        <f>Budget!$J$3</f>
        <v>Capital One</v>
      </c>
      <c r="R137" t="str">
        <f>Budget!$J$4</f>
        <v>Chase</v>
      </c>
      <c r="S137" t="str">
        <f>Budget!$J$5</f>
        <v>NFCU</v>
      </c>
      <c r="T137" t="str">
        <f>Budget!$O$3</f>
        <v>Amazon Prime</v>
      </c>
      <c r="U137" t="str">
        <f>Budget!$O$12</f>
        <v>Audible</v>
      </c>
      <c r="V137" t="str">
        <f>Budget!$O$5</f>
        <v>Netflix</v>
      </c>
      <c r="W137" t="str">
        <f>Budget!$O$6</f>
        <v>Spotify</v>
      </c>
      <c r="X137" t="str">
        <f>Budget!$O$7</f>
        <v>Rocket Money</v>
      </c>
      <c r="Y137" t="str">
        <f>Budget!$O$8</f>
        <v>Little4Much</v>
      </c>
      <c r="Z137" t="str">
        <f>Budget!$O$9</f>
        <v>None</v>
      </c>
      <c r="AA137" s="10"/>
      <c r="AC137" s="3">
        <f>AD136+AC136</f>
        <v>144.57999999999993</v>
      </c>
    </row>
    <row r="138" spans="1:30" x14ac:dyDescent="0.3">
      <c r="A138" s="4">
        <f>A137</f>
        <v>45778</v>
      </c>
      <c r="B138" s="2">
        <f>B133+AA138</f>
        <v>3720.9799999999996</v>
      </c>
      <c r="C138" s="7">
        <f>IF(B138&gt;B133,2,IF(B138=B133, 1,0))</f>
        <v>0</v>
      </c>
      <c r="D138" s="1">
        <v>0</v>
      </c>
      <c r="E138" s="17">
        <f>N("PAY-LM")+IF(WEEKDAY(A138)=Budget!$C$3,Budget!$B$3,0)</f>
        <v>0</v>
      </c>
      <c r="F138" s="17">
        <f>N("Rent")-IF(DAY(A138)=Budget!$G$3,Budget!$F$3,0)</f>
        <v>-1733</v>
      </c>
      <c r="G138" s="17">
        <f>N("Car")-IF(DAY(A138)=Budget!$G$4,Budget!$F$4+Budget!$H$4,0)</f>
        <v>0</v>
      </c>
      <c r="H138" s="17">
        <f>N("Mom Rent")-IF(DAY(A138)=Budget!$G$5,Budget!$F$5,0)</f>
        <v>0</v>
      </c>
      <c r="I138" s="17">
        <f>N("AT&amp;T")-IF(DAY(A138)=Budget!$G$8,Budget!$F$8,0)</f>
        <v>0</v>
      </c>
      <c r="J138" s="17">
        <f>N("GA Power")-IF(DAY(A138)=Budget!$G$9,Budget!$F$9,0)</f>
        <v>0</v>
      </c>
      <c r="K138" s="17">
        <f>N("Haircut")-IF(DAY(A138)=Budget!$G$10,Budget!$F$10,0)</f>
        <v>0</v>
      </c>
      <c r="L138" s="17">
        <f>N("Groceries")-IF(DAY(A138)=Budget!$G$6,Budget!$F$6,0)</f>
        <v>0</v>
      </c>
      <c r="M138" s="17">
        <f>N("Savings")-IF(DAY(A138)=Budget!$G$7,Budget!$F$7,0)</f>
        <v>0</v>
      </c>
      <c r="N138" s="17">
        <f>N("Car Insurance")-COUNTIF(Budget!$G$14, A138)*Budget!$F$14</f>
        <v>0</v>
      </c>
      <c r="O138" s="17">
        <f>N("Phone Bill")-COUNTIF(Budget!$G$15, A138)*Budget!$F$15</f>
        <v>0</v>
      </c>
      <c r="Q138" s="17">
        <f>N("Spotify")-IF(AND(DAY($A138)=Budget!$M$3, MONTH($A138)=Budget!$L$3),Budget!$K$3,0)</f>
        <v>0</v>
      </c>
      <c r="R138" s="17">
        <f>N("Spotify")-IF(AND(DAY($A138)=Budget!$M$4, MONTH($A138)=Budget!$L$4),Budget!$K$4,0)</f>
        <v>0</v>
      </c>
      <c r="S138" s="17">
        <f>N("Spotify")-IF(AND(DAY($A138)=Budget!$M$5, MONTH($A138)=Budget!$L$5),Budget!$K$5,0)</f>
        <v>0</v>
      </c>
      <c r="T138" s="17">
        <f>N("Amazon Prime")-IF(DAY(A138)=Budget!$Q$3,Budget!$P$3,0)</f>
        <v>0</v>
      </c>
      <c r="U138" s="17">
        <f>N("Audible")-IF(DAY(A138)=Budget!$Q$12,Budget!$P$12,0)</f>
        <v>0</v>
      </c>
      <c r="V138" s="17">
        <f>N("Crunchyroll")-IF(DAY(A138)=Budget!$Q$5,Budget!$P$5,0)</f>
        <v>0</v>
      </c>
      <c r="W138" s="17">
        <f>N("HBO Max")-IF(DAY(A138)=Budget!$Q$6,Budget!$P$6,0)</f>
        <v>0</v>
      </c>
      <c r="X138" s="17">
        <f>N("Netflix")-IF(DAY(A138)=Budget!$Q$7,Budget!$P$7,0)</f>
        <v>0</v>
      </c>
      <c r="Y138" s="17">
        <f>N("Spotify")-IF(DAY(A138)=Budget!$Q$8,Budget!$P$8,0)</f>
        <v>0</v>
      </c>
      <c r="Z138" s="17">
        <f>N("Truebill")-IF(DAY(A138)=Budget!$Q$9,Budget!$P$9,0)</f>
        <v>0</v>
      </c>
      <c r="AA138" s="6">
        <f t="shared" ref="AA138:AA168" si="16">SUM(D138:Z138)</f>
        <v>-1733</v>
      </c>
    </row>
    <row r="139" spans="1:30" x14ac:dyDescent="0.3">
      <c r="A139" s="4">
        <f>A138+1</f>
        <v>45779</v>
      </c>
      <c r="B139" s="2">
        <v>2034.86</v>
      </c>
      <c r="C139" s="7">
        <f>IF(B139&gt;B138,2,IF(B139=B138, 1,0))</f>
        <v>0</v>
      </c>
      <c r="D139" s="1">
        <v>0</v>
      </c>
      <c r="E139" s="17">
        <f>N("PAY-LM")+IF(WEEKDAY(A139)=Budget!$C$3,Budget!$B$3,0)</f>
        <v>1453</v>
      </c>
      <c r="F139" s="17">
        <f>N("Rent")-IF(DAY(A139)=Budget!$G$3,Budget!$F$3,0)</f>
        <v>0</v>
      </c>
      <c r="G139" s="17">
        <f>N("Car")-IF(DAY(A139)=Budget!$G$4,Budget!$F$4+Budget!$H$4,0)</f>
        <v>-503.35</v>
      </c>
      <c r="H139" s="17">
        <f>N("Mom Rent")-IF(DAY(A139)=Budget!$G$5,Budget!$F$5,0)</f>
        <v>0</v>
      </c>
      <c r="I139" s="17">
        <f>N("AT&amp;T")-IF(DAY(A139)=Budget!$G$8,Budget!$F$8,0)</f>
        <v>0</v>
      </c>
      <c r="J139" s="17">
        <f>N("GA Power")-IF(DAY(A139)=Budget!$G$9,Budget!$F$9,0)</f>
        <v>0</v>
      </c>
      <c r="K139" s="17">
        <f>N("Haircut")-IF(DAY(A139)=Budget!$G$10,Budget!$F$10,0)</f>
        <v>0</v>
      </c>
      <c r="L139" s="17">
        <f>N("Groceries")-IF(DAY(A139)=Budget!$G$6,Budget!$F$6,0)</f>
        <v>-300</v>
      </c>
      <c r="M139" s="17">
        <f>N("Savings")-IF(DAY(A139)=Budget!$G$7,Budget!$F$7,0)</f>
        <v>0</v>
      </c>
      <c r="N139" s="17">
        <f>N("Car Insurance")-COUNTIF(Budget!$G$14, A139)*Budget!$F$14</f>
        <v>0</v>
      </c>
      <c r="O139" s="17">
        <f>N("Phone Bill")-COUNTIF(Budget!$G$15, A139)*Budget!$F$15</f>
        <v>0</v>
      </c>
      <c r="Q139" s="17">
        <f>N("Spotify")-IF(AND(DAY($A139)=Budget!$M$3, MONTH($A139)=Budget!$L$3),Budget!$K$3,0)</f>
        <v>0</v>
      </c>
      <c r="R139" s="17">
        <f>N("Spotify")-IF(AND(DAY($A139)=Budget!$M$4, MONTH($A139)=Budget!$L$4),Budget!$K$4,0)</f>
        <v>0</v>
      </c>
      <c r="S139" s="17">
        <f>N("Spotify")-IF(AND(DAY($A139)=Budget!$M$5, MONTH($A139)=Budget!$L$5),Budget!$K$5,0)</f>
        <v>0</v>
      </c>
      <c r="T139" s="17">
        <f>N("Amazon Prime")-IF(DAY(A139)=Budget!$Q$3,Budget!$P$3,0)</f>
        <v>0</v>
      </c>
      <c r="U139" s="17">
        <f>N("Audible")-IF(DAY(A139)=Budget!$Q$12,Budget!$P$12,0)</f>
        <v>0</v>
      </c>
      <c r="V139" s="17">
        <f>N("Crunchyroll")-IF(DAY(A139)=Budget!$Q$5,Budget!$P$5,0)</f>
        <v>0</v>
      </c>
      <c r="W139" s="17">
        <f>N("HBO Max")-IF(DAY(A139)=Budget!$Q$6,Budget!$P$6,0)</f>
        <v>0</v>
      </c>
      <c r="X139" s="17">
        <f>N("Netflix")-IF(DAY(A139)=Budget!$Q$7,Budget!$P$7,0)</f>
        <v>0</v>
      </c>
      <c r="Y139" s="17">
        <f>N("Spotify")-IF(DAY(A139)=Budget!$Q$8,Budget!$P$8,0)</f>
        <v>0</v>
      </c>
      <c r="Z139" s="17">
        <f>N("Truebill")-IF(DAY(A139)=Budget!$Q$9,Budget!$P$9,0)</f>
        <v>0</v>
      </c>
      <c r="AA139" s="6">
        <f t="shared" si="16"/>
        <v>649.65</v>
      </c>
    </row>
    <row r="140" spans="1:30" x14ac:dyDescent="0.3">
      <c r="A140" s="4">
        <f t="shared" ref="A140:A168" si="17">A139+1</f>
        <v>45780</v>
      </c>
      <c r="B140" s="2">
        <f t="shared" ref="B140:B167" si="18">B139+AA140</f>
        <v>2034.86</v>
      </c>
      <c r="C140" s="7">
        <f t="shared" ref="C140:C165" si="19">IF(B140&gt;B139,2,IF(B140=B139, 1,0))</f>
        <v>1</v>
      </c>
      <c r="D140" s="1">
        <v>0</v>
      </c>
      <c r="E140" s="17">
        <f>N("PAY-LM")+IF(WEEKDAY(A140)=Budget!$C$3,Budget!$B$3,0)</f>
        <v>0</v>
      </c>
      <c r="F140" s="17">
        <f>N("Rent")-IF(DAY(A140)=Budget!$G$3,Budget!$F$3,0)</f>
        <v>0</v>
      </c>
      <c r="G140" s="17">
        <f>N("Car")-IF(DAY(A140)=Budget!$G$4,Budget!$F$4+Budget!$H$4,0)</f>
        <v>0</v>
      </c>
      <c r="H140" s="17">
        <f>N("Mom Rent")-IF(DAY(A140)=Budget!$G$5,Budget!$F$5,0)</f>
        <v>0</v>
      </c>
      <c r="I140" s="17">
        <f>N("AT&amp;T")-IF(DAY(A140)=Budget!$G$8,Budget!$F$8,0)</f>
        <v>0</v>
      </c>
      <c r="J140" s="17">
        <f>N("GA Power")-IF(DAY(A140)=Budget!$G$9,Budget!$F$9,0)</f>
        <v>0</v>
      </c>
      <c r="K140" s="17">
        <f>N("Haircut")-IF(DAY(A140)=Budget!$G$10,Budget!$F$10,0)</f>
        <v>0</v>
      </c>
      <c r="L140" s="17">
        <f>N("Groceries")-IF(DAY(A140)=Budget!$G$6,Budget!$F$6,0)</f>
        <v>0</v>
      </c>
      <c r="M140" s="17">
        <f>N("Savings")-IF(DAY(A140)=Budget!$G$7,Budget!$F$7,0)</f>
        <v>0</v>
      </c>
      <c r="N140" s="17">
        <f>N("Car Insurance")-COUNTIF(Budget!$G$14, A140)*Budget!$F$14</f>
        <v>0</v>
      </c>
      <c r="O140" s="17">
        <f>N("Phone Bill")-COUNTIF(Budget!$G$15, A140)*Budget!$F$15</f>
        <v>0</v>
      </c>
      <c r="Q140" s="17">
        <f>N("Spotify")-IF(AND(DAY($A140)=Budget!$M$3, MONTH($A140)=Budget!$L$3),Budget!$K$3,0)</f>
        <v>0</v>
      </c>
      <c r="R140" s="17">
        <f>N("Spotify")-IF(AND(DAY($A140)=Budget!$M$4, MONTH($A140)=Budget!$L$4),Budget!$K$4,0)</f>
        <v>0</v>
      </c>
      <c r="S140" s="17">
        <f>N("Spotify")-IF(AND(DAY($A140)=Budget!$M$5, MONTH($A140)=Budget!$L$5),Budget!$K$5,0)</f>
        <v>0</v>
      </c>
      <c r="T140" s="17">
        <f>N("Amazon Prime")-IF(DAY(A140)=Budget!$Q$3,Budget!$P$3,0)</f>
        <v>0</v>
      </c>
      <c r="U140" s="17">
        <f>N("Audible")-IF(DAY(A140)=Budget!$Q$12,Budget!$P$12,0)</f>
        <v>0</v>
      </c>
      <c r="V140" s="17">
        <f>N("Crunchyroll")-IF(DAY(A140)=Budget!$Q$5,Budget!$P$5,0)</f>
        <v>0</v>
      </c>
      <c r="W140" s="17">
        <f>N("HBO Max")-IF(DAY(A140)=Budget!$Q$6,Budget!$P$6,0)</f>
        <v>0</v>
      </c>
      <c r="X140" s="17">
        <f>N("Netflix")-IF(DAY(A140)=Budget!$Q$7,Budget!$P$7,0)</f>
        <v>0</v>
      </c>
      <c r="Y140" s="17">
        <f>N("Spotify")-IF(DAY(A140)=Budget!$Q$8,Budget!$P$8,0)</f>
        <v>0</v>
      </c>
      <c r="Z140" s="17">
        <f>N("Truebill")-IF(DAY(A140)=Budget!$Q$9,Budget!$P$9,0)</f>
        <v>0</v>
      </c>
      <c r="AA140" s="6">
        <f t="shared" si="16"/>
        <v>0</v>
      </c>
    </row>
    <row r="141" spans="1:30" x14ac:dyDescent="0.3">
      <c r="A141" s="4">
        <f t="shared" si="17"/>
        <v>45781</v>
      </c>
      <c r="B141" s="2">
        <f t="shared" si="18"/>
        <v>2034.86</v>
      </c>
      <c r="C141" s="7">
        <f t="shared" si="19"/>
        <v>1</v>
      </c>
      <c r="D141" s="1">
        <v>0</v>
      </c>
      <c r="E141" s="17">
        <f>N("PAY-LM")+IF(WEEKDAY(A141)=Budget!$C$3,Budget!$B$3,0)</f>
        <v>0</v>
      </c>
      <c r="F141" s="17">
        <f>N("Rent")-IF(DAY(A141)=Budget!$G$3,Budget!$F$3,0)</f>
        <v>0</v>
      </c>
      <c r="G141" s="17">
        <f>N("Car")-IF(DAY(A141)=Budget!$G$4,Budget!$F$4+Budget!$H$4,0)</f>
        <v>0</v>
      </c>
      <c r="H141" s="17">
        <f>N("Mom Rent")-IF(DAY(A141)=Budget!$G$5,Budget!$F$5,0)</f>
        <v>0</v>
      </c>
      <c r="I141" s="17">
        <f>N("AT&amp;T")-IF(DAY(A141)=Budget!$G$8,Budget!$F$8,0)</f>
        <v>0</v>
      </c>
      <c r="J141" s="17">
        <f>N("GA Power")-IF(DAY(A141)=Budget!$G$9,Budget!$F$9,0)</f>
        <v>0</v>
      </c>
      <c r="K141" s="17">
        <f>N("Haircut")-IF(DAY(A141)=Budget!$G$10,Budget!$F$10,0)</f>
        <v>0</v>
      </c>
      <c r="L141" s="17">
        <f>N("Groceries")-IF(DAY(A141)=Budget!$G$6,Budget!$F$6,0)</f>
        <v>0</v>
      </c>
      <c r="M141" s="17">
        <f>N("Savings")-IF(DAY(A141)=Budget!$G$7,Budget!$F$7,0)</f>
        <v>0</v>
      </c>
      <c r="N141" s="17">
        <f>N("Car Insurance")-COUNTIF(Budget!$G$14, A141)*Budget!$F$14</f>
        <v>0</v>
      </c>
      <c r="O141" s="17">
        <f>N("Phone Bill")-COUNTIF(Budget!$G$15, A141)*Budget!$F$15</f>
        <v>0</v>
      </c>
      <c r="Q141" s="17">
        <f>N("Spotify")-IF(AND(DAY($A141)=Budget!$M$3, MONTH($A141)=Budget!$L$3),Budget!$K$3,0)</f>
        <v>0</v>
      </c>
      <c r="R141" s="17">
        <f>N("Spotify")-IF(AND(DAY($A141)=Budget!$M$4, MONTH($A141)=Budget!$L$4),Budget!$K$4,0)</f>
        <v>0</v>
      </c>
      <c r="S141" s="17">
        <f>N("Spotify")-IF(AND(DAY($A141)=Budget!$M$5, MONTH($A141)=Budget!$L$5),Budget!$K$5,0)</f>
        <v>0</v>
      </c>
      <c r="T141" s="17">
        <f>N("Amazon Prime")-IF(DAY(A141)=Budget!$Q$3,Budget!$P$3,0)</f>
        <v>0</v>
      </c>
      <c r="U141" s="17">
        <f>N("Audible")-IF(DAY(A141)=Budget!$Q$12,Budget!$P$12,0)</f>
        <v>0</v>
      </c>
      <c r="V141" s="17">
        <f>N("Crunchyroll")-IF(DAY(A141)=Budget!$Q$5,Budget!$P$5,0)</f>
        <v>0</v>
      </c>
      <c r="W141" s="17">
        <f>N("HBO Max")-IF(DAY(A141)=Budget!$Q$6,Budget!$P$6,0)</f>
        <v>0</v>
      </c>
      <c r="X141" s="17">
        <f>N("Netflix")-IF(DAY(A141)=Budget!$Q$7,Budget!$P$7,0)</f>
        <v>0</v>
      </c>
      <c r="Y141" s="17">
        <f>N("Spotify")-IF(DAY(A141)=Budget!$Q$8,Budget!$P$8,0)</f>
        <v>0</v>
      </c>
      <c r="Z141" s="17">
        <f>N("Truebill")-IF(DAY(A141)=Budget!$Q$9,Budget!$P$9,0)</f>
        <v>0</v>
      </c>
      <c r="AA141" s="6">
        <f t="shared" si="16"/>
        <v>0</v>
      </c>
    </row>
    <row r="142" spans="1:30" x14ac:dyDescent="0.3">
      <c r="A142" s="4">
        <f t="shared" si="17"/>
        <v>45782</v>
      </c>
      <c r="B142" s="2">
        <f t="shared" si="18"/>
        <v>1964.86</v>
      </c>
      <c r="C142" s="7">
        <f t="shared" si="19"/>
        <v>0</v>
      </c>
      <c r="D142" s="1">
        <v>0</v>
      </c>
      <c r="E142" s="17">
        <f>N("PAY-LM")+IF(WEEKDAY(A142)=Budget!$C$3,Budget!$B$3,0)</f>
        <v>0</v>
      </c>
      <c r="F142" s="17">
        <f>N("Rent")-IF(DAY(A142)=Budget!$G$3,Budget!$F$3,0)</f>
        <v>0</v>
      </c>
      <c r="G142" s="17">
        <f>N("Car")-IF(DAY(A142)=Budget!$G$4,Budget!$F$4+Budget!$H$4,0)</f>
        <v>0</v>
      </c>
      <c r="H142" s="17">
        <f>N("Mom Rent")-IF(DAY(A142)=Budget!$G$5,Budget!$F$5,0)</f>
        <v>0</v>
      </c>
      <c r="I142" s="17">
        <f>N("AT&amp;T")-IF(DAY(A142)=Budget!$G$8,Budget!$F$8,0)</f>
        <v>0</v>
      </c>
      <c r="J142" s="17">
        <f>N("GA Power")-IF(DAY(A142)=Budget!$G$9,Budget!$F$9,0)</f>
        <v>-70</v>
      </c>
      <c r="K142" s="17">
        <f>N("Haircut")-IF(DAY(A142)=Budget!$G$10,Budget!$F$10,0)</f>
        <v>0</v>
      </c>
      <c r="L142" s="17">
        <f>N("Groceries")-IF(DAY(A142)=Budget!$G$6,Budget!$F$6,0)</f>
        <v>0</v>
      </c>
      <c r="M142" s="17">
        <f>N("Savings")-IF(DAY(A142)=Budget!$G$7,Budget!$F$7,0)</f>
        <v>0</v>
      </c>
      <c r="N142" s="17">
        <f>N("Car Insurance")-COUNTIF(Budget!$G$14, A142)*Budget!$F$14</f>
        <v>0</v>
      </c>
      <c r="O142" s="17">
        <f>N("Phone Bill")-COUNTIF(Budget!$G$15, A142)*Budget!$F$15</f>
        <v>0</v>
      </c>
      <c r="Q142" s="17">
        <f>N("Spotify")-IF(AND(DAY($A142)=Budget!$M$3, MONTH($A142)=Budget!$L$3),Budget!$K$3,0)</f>
        <v>0</v>
      </c>
      <c r="R142" s="17">
        <f>N("Spotify")-IF(AND(DAY($A142)=Budget!$M$4, MONTH($A142)=Budget!$L$4),Budget!$K$4,0)</f>
        <v>0</v>
      </c>
      <c r="S142" s="17">
        <f>N("Spotify")-IF(AND(DAY($A142)=Budget!$M$5, MONTH($A142)=Budget!$L$5),Budget!$K$5,0)</f>
        <v>0</v>
      </c>
      <c r="T142" s="17">
        <f>N("Amazon Prime")-IF(DAY(A142)=Budget!$Q$3,Budget!$P$3,0)</f>
        <v>0</v>
      </c>
      <c r="U142" s="17">
        <f>N("Audible")-IF(DAY(A142)=Budget!$Q$12,Budget!$P$12,0)</f>
        <v>0</v>
      </c>
      <c r="V142" s="17">
        <f>N("Crunchyroll")-IF(DAY(A142)=Budget!$Q$5,Budget!$P$5,0)</f>
        <v>0</v>
      </c>
      <c r="W142" s="17">
        <f>N("HBO Max")-IF(DAY(A142)=Budget!$Q$6,Budget!$P$6,0)</f>
        <v>0</v>
      </c>
      <c r="X142" s="17">
        <f>N("Netflix")-IF(DAY(A142)=Budget!$Q$7,Budget!$P$7,0)</f>
        <v>0</v>
      </c>
      <c r="Y142" s="17">
        <f>N("Spotify")-IF(DAY(A142)=Budget!$Q$8,Budget!$P$8,0)</f>
        <v>0</v>
      </c>
      <c r="Z142" s="17">
        <f>N("Truebill")-IF(DAY(A142)=Budget!$Q$9,Budget!$P$9,0)</f>
        <v>0</v>
      </c>
      <c r="AA142" s="6">
        <f t="shared" si="16"/>
        <v>-70</v>
      </c>
    </row>
    <row r="143" spans="1:30" x14ac:dyDescent="0.3">
      <c r="A143" s="4">
        <f t="shared" si="17"/>
        <v>45783</v>
      </c>
      <c r="B143" s="2">
        <f t="shared" si="18"/>
        <v>1964.86</v>
      </c>
      <c r="C143" s="7">
        <f t="shared" si="19"/>
        <v>1</v>
      </c>
      <c r="D143" s="1">
        <v>0</v>
      </c>
      <c r="E143" s="17">
        <f>N("PAY-LM")+IF(WEEKDAY(A143)=Budget!$C$3,Budget!$B$3,0)</f>
        <v>0</v>
      </c>
      <c r="F143" s="17">
        <f>N("Rent")-IF(DAY(A143)=Budget!$G$3,Budget!$F$3,0)</f>
        <v>0</v>
      </c>
      <c r="G143" s="17">
        <f>N("Car")-IF(DAY(A143)=Budget!$G$4,Budget!$F$4+Budget!$H$4,0)</f>
        <v>0</v>
      </c>
      <c r="H143" s="17">
        <f>N("Mom Rent")-IF(DAY(A143)=Budget!$G$5,Budget!$F$5,0)</f>
        <v>0</v>
      </c>
      <c r="I143" s="17">
        <f>N("AT&amp;T")-IF(DAY(A143)=Budget!$G$8,Budget!$F$8,0)</f>
        <v>0</v>
      </c>
      <c r="J143" s="17">
        <f>N("GA Power")-IF(DAY(A143)=Budget!$G$9,Budget!$F$9,0)</f>
        <v>0</v>
      </c>
      <c r="K143" s="17">
        <f>N("Haircut")-IF(DAY(A143)=Budget!$G$10,Budget!$F$10,0)</f>
        <v>0</v>
      </c>
      <c r="L143" s="17">
        <f>N("Groceries")-IF(DAY(A143)=Budget!$G$6,Budget!$F$6,0)</f>
        <v>0</v>
      </c>
      <c r="M143" s="17">
        <f>N("Savings")-IF(DAY(A143)=Budget!$G$7,Budget!$F$7,0)</f>
        <v>0</v>
      </c>
      <c r="N143" s="17">
        <f>N("Car Insurance")-COUNTIF(Budget!$G$14, A143)*Budget!$F$14</f>
        <v>0</v>
      </c>
      <c r="O143" s="17">
        <f>N("Phone Bill")-COUNTIF(Budget!$G$15, A143)*Budget!$F$15</f>
        <v>0</v>
      </c>
      <c r="Q143" s="17">
        <f>N("Spotify")-IF(AND(DAY($A143)=Budget!$M$3, MONTH($A143)=Budget!$L$3),Budget!$K$3,0)</f>
        <v>0</v>
      </c>
      <c r="R143" s="17">
        <f>N("Spotify")-IF(AND(DAY($A143)=Budget!$M$4, MONTH($A143)=Budget!$L$4),Budget!$K$4,0)</f>
        <v>0</v>
      </c>
      <c r="S143" s="17">
        <f>N("Spotify")-IF(AND(DAY($A143)=Budget!$M$5, MONTH($A143)=Budget!$L$5),Budget!$K$5,0)</f>
        <v>0</v>
      </c>
      <c r="T143" s="17">
        <f>N("Amazon Prime")-IF(DAY(A143)=Budget!$Q$3,Budget!$P$3,0)</f>
        <v>0</v>
      </c>
      <c r="U143" s="17">
        <f>N("Audible")-IF(DAY(A143)=Budget!$Q$12,Budget!$P$12,0)</f>
        <v>0</v>
      </c>
      <c r="V143" s="17">
        <f>N("Crunchyroll")-IF(DAY(A143)=Budget!$Q$5,Budget!$P$5,0)</f>
        <v>0</v>
      </c>
      <c r="W143" s="17">
        <f>N("HBO Max")-IF(DAY(A143)=Budget!$Q$6,Budget!$P$6,0)</f>
        <v>0</v>
      </c>
      <c r="X143" s="17">
        <f>N("Netflix")-IF(DAY(A143)=Budget!$Q$7,Budget!$P$7,0)</f>
        <v>0</v>
      </c>
      <c r="Y143" s="17">
        <f>N("Spotify")-IF(DAY(A143)=Budget!$Q$8,Budget!$P$8,0)</f>
        <v>0</v>
      </c>
      <c r="Z143" s="17">
        <f>N("Truebill")-IF(DAY(A143)=Budget!$Q$9,Budget!$P$9,0)</f>
        <v>0</v>
      </c>
      <c r="AA143" s="6">
        <f t="shared" si="16"/>
        <v>0</v>
      </c>
    </row>
    <row r="144" spans="1:30" x14ac:dyDescent="0.3">
      <c r="A144" s="4">
        <f t="shared" si="17"/>
        <v>45784</v>
      </c>
      <c r="B144" s="2">
        <f t="shared" si="18"/>
        <v>1964.86</v>
      </c>
      <c r="C144" s="7">
        <f t="shared" si="19"/>
        <v>1</v>
      </c>
      <c r="D144" s="1">
        <v>0</v>
      </c>
      <c r="E144" s="17">
        <f>N("PAY-LM")+IF(WEEKDAY(A144)=Budget!$C$3,Budget!$B$3,0)</f>
        <v>0</v>
      </c>
      <c r="F144" s="17">
        <f>N("Rent")-IF(DAY(A144)=Budget!$G$3,Budget!$F$3,0)</f>
        <v>0</v>
      </c>
      <c r="G144" s="17">
        <f>N("Car")-IF(DAY(A144)=Budget!$G$4,Budget!$F$4+Budget!$H$4,0)</f>
        <v>0</v>
      </c>
      <c r="H144" s="17">
        <f>N("Mom Rent")-IF(DAY(A144)=Budget!$G$5,Budget!$F$5,0)</f>
        <v>0</v>
      </c>
      <c r="I144" s="17">
        <f>N("AT&amp;T")-IF(DAY(A144)=Budget!$G$8,Budget!$F$8,0)</f>
        <v>0</v>
      </c>
      <c r="J144" s="17">
        <f>N("GA Power")-IF(DAY(A144)=Budget!$G$9,Budget!$F$9,0)</f>
        <v>0</v>
      </c>
      <c r="K144" s="17">
        <f>N("Haircut")-IF(DAY(A144)=Budget!$G$10,Budget!$F$10,0)</f>
        <v>0</v>
      </c>
      <c r="L144" s="17">
        <f>N("Groceries")-IF(DAY(A144)=Budget!$G$6,Budget!$F$6,0)</f>
        <v>0</v>
      </c>
      <c r="M144" s="17">
        <f>N("Savings")-IF(DAY(A144)=Budget!$G$7,Budget!$F$7,0)</f>
        <v>0</v>
      </c>
      <c r="N144" s="17">
        <f>N("Car Insurance")-COUNTIF(Budget!$G$14, A144)*Budget!$F$14</f>
        <v>0</v>
      </c>
      <c r="O144" s="17">
        <f>N("Phone Bill")-COUNTIF(Budget!$G$15, A144)*Budget!$F$15</f>
        <v>0</v>
      </c>
      <c r="Q144" s="17">
        <f>N("Spotify")-IF(AND(DAY($A144)=Budget!$M$3, MONTH($A144)=Budget!$L$3),Budget!$K$3,0)</f>
        <v>0</v>
      </c>
      <c r="R144" s="17">
        <f>N("Spotify")-IF(AND(DAY($A144)=Budget!$M$4, MONTH($A144)=Budget!$L$4),Budget!$K$4,0)</f>
        <v>0</v>
      </c>
      <c r="S144" s="17">
        <f>N("Spotify")-IF(AND(DAY($A144)=Budget!$M$5, MONTH($A144)=Budget!$L$5),Budget!$K$5,0)</f>
        <v>0</v>
      </c>
      <c r="T144" s="17">
        <f>N("Amazon Prime")-IF(DAY(A144)=Budget!$Q$3,Budget!$P$3,0)</f>
        <v>0</v>
      </c>
      <c r="U144" s="17">
        <f>N("Audible")-IF(DAY(A144)=Budget!$Q$12,Budget!$P$12,0)</f>
        <v>0</v>
      </c>
      <c r="V144" s="17">
        <f>N("Crunchyroll")-IF(DAY(A144)=Budget!$Q$5,Budget!$P$5,0)</f>
        <v>0</v>
      </c>
      <c r="W144" s="17">
        <f>N("HBO Max")-IF(DAY(A144)=Budget!$Q$6,Budget!$P$6,0)</f>
        <v>0</v>
      </c>
      <c r="X144" s="17">
        <f>N("Netflix")-IF(DAY(A144)=Budget!$Q$7,Budget!$P$7,0)</f>
        <v>0</v>
      </c>
      <c r="Y144" s="17">
        <f>N("Spotify")-IF(DAY(A144)=Budget!$Q$8,Budget!$P$8,0)</f>
        <v>0</v>
      </c>
      <c r="Z144" s="17">
        <f>N("Truebill")-IF(DAY(A144)=Budget!$Q$9,Budget!$P$9,0)</f>
        <v>0</v>
      </c>
      <c r="AA144" s="6">
        <f t="shared" si="16"/>
        <v>0</v>
      </c>
    </row>
    <row r="145" spans="1:27" x14ac:dyDescent="0.3">
      <c r="A145" s="4">
        <f t="shared" si="17"/>
        <v>45785</v>
      </c>
      <c r="B145" s="2">
        <f t="shared" si="18"/>
        <v>1945.3899999999999</v>
      </c>
      <c r="C145" s="7">
        <f t="shared" si="19"/>
        <v>0</v>
      </c>
      <c r="D145" s="1">
        <v>0</v>
      </c>
      <c r="E145" s="17">
        <f>N("PAY-LM")+IF(WEEKDAY(A145)=Budget!$C$3,Budget!$B$3,0)</f>
        <v>0</v>
      </c>
      <c r="F145" s="17">
        <f>N("Rent")-IF(DAY(A145)=Budget!$G$3,Budget!$F$3,0)</f>
        <v>0</v>
      </c>
      <c r="G145" s="17">
        <f>N("Car")-IF(DAY(A145)=Budget!$G$4,Budget!$F$4+Budget!$H$4,0)</f>
        <v>0</v>
      </c>
      <c r="H145" s="17">
        <f>N("Mom Rent")-IF(DAY(A145)=Budget!$G$5,Budget!$F$5,0)</f>
        <v>0</v>
      </c>
      <c r="I145" s="17">
        <f>N("AT&amp;T")-IF(DAY(A145)=Budget!$G$8,Budget!$F$8,0)</f>
        <v>0</v>
      </c>
      <c r="J145" s="17">
        <f>N("GA Power")-IF(DAY(A145)=Budget!$G$9,Budget!$F$9,0)</f>
        <v>0</v>
      </c>
      <c r="K145" s="17">
        <f>N("Haircut")-IF(DAY(A145)=Budget!$G$10,Budget!$F$10,0)</f>
        <v>0</v>
      </c>
      <c r="L145" s="17">
        <f>N("Groceries")-IF(DAY(A145)=Budget!$G$6,Budget!$F$6,0)</f>
        <v>0</v>
      </c>
      <c r="M145" s="17">
        <f>N("Savings")-IF(DAY(A145)=Budget!$G$7,Budget!$F$7,0)</f>
        <v>0</v>
      </c>
      <c r="N145" s="17">
        <f>N("Car Insurance")-COUNTIF(Budget!$G$14, A145)*Budget!$F$14</f>
        <v>0</v>
      </c>
      <c r="O145" s="17">
        <f>N("Phone Bill")-COUNTIF(Budget!$G$15, A145)*Budget!$F$15</f>
        <v>0</v>
      </c>
      <c r="Q145" s="17">
        <f>N("Spotify")-IF(AND(DAY($A145)=Budget!$M$3, MONTH($A145)=Budget!$L$3),Budget!$K$3,0)</f>
        <v>0</v>
      </c>
      <c r="R145" s="17">
        <f>N("Spotify")-IF(AND(DAY($A145)=Budget!$M$4, MONTH($A145)=Budget!$L$4),Budget!$K$4,0)</f>
        <v>0</v>
      </c>
      <c r="S145" s="17">
        <f>N("Spotify")-IF(AND(DAY($A145)=Budget!$M$5, MONTH($A145)=Budget!$L$5),Budget!$K$5,0)</f>
        <v>0</v>
      </c>
      <c r="T145" s="17">
        <f>N("Amazon Prime")-IF(DAY(A145)=Budget!$Q$3,Budget!$P$3,0)</f>
        <v>-7.48</v>
      </c>
      <c r="U145" s="17">
        <f>N("Audible")-IF(DAY(A145)=Budget!$Q$12,Budget!$P$12,0)</f>
        <v>0</v>
      </c>
      <c r="V145" s="17">
        <f>N("Crunchyroll")-IF(DAY(A145)=Budget!$Q$5,Budget!$P$5,0)</f>
        <v>0</v>
      </c>
      <c r="W145" s="17">
        <f>N("HBO Max")-IF(DAY(A145)=Budget!$Q$6,Budget!$P$6,0)</f>
        <v>-11.99</v>
      </c>
      <c r="X145" s="17">
        <f>N("Netflix")-IF(DAY(A145)=Budget!$Q$7,Budget!$P$7,0)</f>
        <v>0</v>
      </c>
      <c r="Y145" s="17">
        <f>N("Spotify")-IF(DAY(A145)=Budget!$Q$8,Budget!$P$8,0)</f>
        <v>0</v>
      </c>
      <c r="Z145" s="17">
        <f>N("Truebill")-IF(DAY(A145)=Budget!$Q$9,Budget!$P$9,0)</f>
        <v>0</v>
      </c>
      <c r="AA145" s="6">
        <f t="shared" si="16"/>
        <v>-19.47</v>
      </c>
    </row>
    <row r="146" spans="1:27" x14ac:dyDescent="0.3">
      <c r="A146" s="4">
        <f t="shared" si="17"/>
        <v>45786</v>
      </c>
      <c r="B146" s="2">
        <f t="shared" si="18"/>
        <v>3398.39</v>
      </c>
      <c r="C146" s="7">
        <f t="shared" si="19"/>
        <v>2</v>
      </c>
      <c r="D146" s="1">
        <v>0</v>
      </c>
      <c r="E146" s="17">
        <f>N("PAY-LM")+IF(WEEKDAY(A146)=Budget!$C$3,Budget!$B$3,0)</f>
        <v>1453</v>
      </c>
      <c r="F146" s="17">
        <f>N("Rent")-IF(DAY(A146)=Budget!$G$3,Budget!$F$3,0)</f>
        <v>0</v>
      </c>
      <c r="G146" s="17">
        <f>N("Car")-IF(DAY(A146)=Budget!$G$4,Budget!$F$4+Budget!$H$4,0)</f>
        <v>0</v>
      </c>
      <c r="H146" s="17">
        <f>N("Mom Rent")-IF(DAY(A146)=Budget!$G$5,Budget!$F$5,0)</f>
        <v>0</v>
      </c>
      <c r="I146" s="17">
        <f>N("AT&amp;T")-IF(DAY(A146)=Budget!$G$8,Budget!$F$8,0)</f>
        <v>0</v>
      </c>
      <c r="J146" s="17">
        <f>N("GA Power")-IF(DAY(A146)=Budget!$G$9,Budget!$F$9,0)</f>
        <v>0</v>
      </c>
      <c r="K146" s="17">
        <f>N("Haircut")-IF(DAY(A146)=Budget!$G$10,Budget!$F$10,0)</f>
        <v>0</v>
      </c>
      <c r="L146" s="17">
        <f>N("Groceries")-IF(DAY(A146)=Budget!$G$6,Budget!$F$6,0)</f>
        <v>0</v>
      </c>
      <c r="M146" s="17">
        <f>N("Savings")-IF(DAY(A146)=Budget!$G$7,Budget!$F$7,0)</f>
        <v>0</v>
      </c>
      <c r="N146" s="17">
        <f>N("Car Insurance")-COUNTIF(Budget!$G$14, A146)*Budget!$F$14</f>
        <v>0</v>
      </c>
      <c r="O146" s="17">
        <f>N("Phone Bill")-COUNTIF(Budget!$G$15, A146)*Budget!$F$15</f>
        <v>0</v>
      </c>
      <c r="Q146" s="17">
        <f>N("Spotify")-IF(AND(DAY($A146)=Budget!$M$3, MONTH($A146)=Budget!$L$3),Budget!$K$3,0)</f>
        <v>0</v>
      </c>
      <c r="R146" s="17">
        <f>N("Spotify")-IF(AND(DAY($A146)=Budget!$M$4, MONTH($A146)=Budget!$L$4),Budget!$K$4,0)</f>
        <v>0</v>
      </c>
      <c r="S146" s="17">
        <f>N("Spotify")-IF(AND(DAY($A146)=Budget!$M$5, MONTH($A146)=Budget!$L$5),Budget!$K$5,0)</f>
        <v>0</v>
      </c>
      <c r="T146" s="17">
        <f>N("Amazon Prime")-IF(DAY(A146)=Budget!$Q$3,Budget!$P$3,0)</f>
        <v>0</v>
      </c>
      <c r="U146" s="17">
        <f>N("Audible")-IF(DAY(A146)=Budget!$Q$12,Budget!$P$12,0)</f>
        <v>0</v>
      </c>
      <c r="V146" s="17">
        <f>N("Crunchyroll")-IF(DAY(A146)=Budget!$Q$5,Budget!$P$5,0)</f>
        <v>0</v>
      </c>
      <c r="W146" s="17">
        <f>N("HBO Max")-IF(DAY(A146)=Budget!$Q$6,Budget!$P$6,0)</f>
        <v>0</v>
      </c>
      <c r="X146" s="17">
        <f>N("Netflix")-IF(DAY(A146)=Budget!$Q$7,Budget!$P$7,0)</f>
        <v>0</v>
      </c>
      <c r="Y146" s="17">
        <f>N("Spotify")-IF(DAY(A146)=Budget!$Q$8,Budget!$P$8,0)</f>
        <v>0</v>
      </c>
      <c r="Z146" s="17">
        <f>N("Truebill")-IF(DAY(A146)=Budget!$Q$9,Budget!$P$9,0)</f>
        <v>0</v>
      </c>
      <c r="AA146" s="6">
        <f t="shared" si="16"/>
        <v>1453</v>
      </c>
    </row>
    <row r="147" spans="1:27" x14ac:dyDescent="0.3">
      <c r="A147" s="4">
        <f t="shared" si="17"/>
        <v>45787</v>
      </c>
      <c r="B147" s="2">
        <f t="shared" si="18"/>
        <v>3398.39</v>
      </c>
      <c r="C147" s="7">
        <f t="shared" si="19"/>
        <v>1</v>
      </c>
      <c r="D147" s="1">
        <v>0</v>
      </c>
      <c r="E147" s="17">
        <f>N("PAY-LM")+IF(WEEKDAY(A147)=Budget!$C$3,Budget!$B$3,0)</f>
        <v>0</v>
      </c>
      <c r="F147" s="17">
        <f>N("Rent")-IF(DAY(A147)=Budget!$G$3,Budget!$F$3,0)</f>
        <v>0</v>
      </c>
      <c r="G147" s="17">
        <f>N("Car")-IF(DAY(A147)=Budget!$G$4,Budget!$F$4+Budget!$H$4,0)</f>
        <v>0</v>
      </c>
      <c r="H147" s="17">
        <f>N("Mom Rent")-IF(DAY(A147)=Budget!$G$5,Budget!$F$5,0)</f>
        <v>0</v>
      </c>
      <c r="I147" s="17">
        <f>N("AT&amp;T")-IF(DAY(A147)=Budget!$G$8,Budget!$F$8,0)</f>
        <v>0</v>
      </c>
      <c r="J147" s="17">
        <f>N("GA Power")-IF(DAY(A147)=Budget!$G$9,Budget!$F$9,0)</f>
        <v>0</v>
      </c>
      <c r="K147" s="17">
        <f>N("Haircut")-IF(DAY(A147)=Budget!$G$10,Budget!$F$10,0)</f>
        <v>0</v>
      </c>
      <c r="L147" s="17">
        <f>N("Groceries")-IF(DAY(A147)=Budget!$G$6,Budget!$F$6,0)</f>
        <v>0</v>
      </c>
      <c r="M147" s="17">
        <f>N("Savings")-IF(DAY(A147)=Budget!$G$7,Budget!$F$7,0)</f>
        <v>0</v>
      </c>
      <c r="N147" s="17">
        <f>N("Car Insurance")-COUNTIF(Budget!$G$14, A147)*Budget!$F$14</f>
        <v>0</v>
      </c>
      <c r="O147" s="17">
        <f>N("Phone Bill")-COUNTIF(Budget!$G$15, A147)*Budget!$F$15</f>
        <v>0</v>
      </c>
      <c r="Q147" s="17">
        <f>N("Spotify")-IF(AND(DAY($A147)=Budget!$M$3, MONTH($A147)=Budget!$L$3),Budget!$K$3,0)</f>
        <v>0</v>
      </c>
      <c r="R147" s="17">
        <f>N("Spotify")-IF(AND(DAY($A147)=Budget!$M$4, MONTH($A147)=Budget!$L$4),Budget!$K$4,0)</f>
        <v>0</v>
      </c>
      <c r="S147" s="17">
        <f>N("Spotify")-IF(AND(DAY($A147)=Budget!$M$5, MONTH($A147)=Budget!$L$5),Budget!$K$5,0)</f>
        <v>0</v>
      </c>
      <c r="T147" s="17">
        <f>N("Amazon Prime")-IF(DAY(A147)=Budget!$Q$3,Budget!$P$3,0)</f>
        <v>0</v>
      </c>
      <c r="U147" s="17">
        <f>N("Audible")-IF(DAY(A147)=Budget!$Q$12,Budget!$P$12,0)</f>
        <v>0</v>
      </c>
      <c r="V147" s="17">
        <f>N("Crunchyroll")-IF(DAY(A147)=Budget!$Q$5,Budget!$P$5,0)</f>
        <v>0</v>
      </c>
      <c r="W147" s="17">
        <f>N("HBO Max")-IF(DAY(A147)=Budget!$Q$6,Budget!$P$6,0)</f>
        <v>0</v>
      </c>
      <c r="X147" s="17">
        <f>N("Netflix")-IF(DAY(A147)=Budget!$Q$7,Budget!$P$7,0)</f>
        <v>0</v>
      </c>
      <c r="Y147" s="17">
        <f>N("Spotify")-IF(DAY(A147)=Budget!$Q$8,Budget!$P$8,0)</f>
        <v>0</v>
      </c>
      <c r="Z147" s="17">
        <f>N("Truebill")-IF(DAY(A147)=Budget!$Q$9,Budget!$P$9,0)</f>
        <v>0</v>
      </c>
      <c r="AA147" s="6">
        <f t="shared" si="16"/>
        <v>0</v>
      </c>
    </row>
    <row r="148" spans="1:27" x14ac:dyDescent="0.3">
      <c r="A148" s="4">
        <f t="shared" si="17"/>
        <v>45788</v>
      </c>
      <c r="B148" s="2">
        <f t="shared" si="18"/>
        <v>3398.39</v>
      </c>
      <c r="C148" s="7">
        <f t="shared" si="19"/>
        <v>1</v>
      </c>
      <c r="D148" s="1">
        <v>0</v>
      </c>
      <c r="E148" s="17">
        <f>N("PAY-LM")+IF(WEEKDAY(A148)=Budget!$C$3,Budget!$B$3,0)</f>
        <v>0</v>
      </c>
      <c r="F148" s="17">
        <f>N("Rent")-IF(DAY(A148)=Budget!$G$3,Budget!$F$3,0)</f>
        <v>0</v>
      </c>
      <c r="G148" s="17">
        <f>N("Car")-IF(DAY(A148)=Budget!$G$4,Budget!$F$4+Budget!$H$4,0)</f>
        <v>0</v>
      </c>
      <c r="H148" s="17">
        <f>N("Mom Rent")-IF(DAY(A148)=Budget!$G$5,Budget!$F$5,0)</f>
        <v>0</v>
      </c>
      <c r="I148" s="17">
        <f>N("AT&amp;T")-IF(DAY(A148)=Budget!$G$8,Budget!$F$8,0)</f>
        <v>0</v>
      </c>
      <c r="J148" s="17">
        <f>N("GA Power")-IF(DAY(A148)=Budget!$G$9,Budget!$F$9,0)</f>
        <v>0</v>
      </c>
      <c r="K148" s="17">
        <f>N("Haircut")-IF(DAY(A148)=Budget!$G$10,Budget!$F$10,0)</f>
        <v>0</v>
      </c>
      <c r="L148" s="17">
        <f>N("Groceries")-IF(DAY(A148)=Budget!$G$6,Budget!$F$6,0)</f>
        <v>0</v>
      </c>
      <c r="M148" s="17">
        <f>N("Savings")-IF(DAY(A148)=Budget!$G$7,Budget!$F$7,0)</f>
        <v>0</v>
      </c>
      <c r="N148" s="17">
        <f>N("Car Insurance")-COUNTIF(Budget!$G$14, A148)*Budget!$F$14</f>
        <v>0</v>
      </c>
      <c r="O148" s="17">
        <f>N("Phone Bill")-COUNTIF(Budget!$G$15, A148)*Budget!$F$15</f>
        <v>0</v>
      </c>
      <c r="Q148" s="17">
        <f>N("Spotify")-IF(AND(DAY($A148)=Budget!$M$3, MONTH($A148)=Budget!$L$3),Budget!$K$3,0)</f>
        <v>0</v>
      </c>
      <c r="R148" s="17">
        <f>N("Spotify")-IF(AND(DAY($A148)=Budget!$M$4, MONTH($A148)=Budget!$L$4),Budget!$K$4,0)</f>
        <v>0</v>
      </c>
      <c r="S148" s="17">
        <f>N("Spotify")-IF(AND(DAY($A148)=Budget!$M$5, MONTH($A148)=Budget!$L$5),Budget!$K$5,0)</f>
        <v>0</v>
      </c>
      <c r="T148" s="17">
        <f>N("Amazon Prime")-IF(DAY(A148)=Budget!$Q$3,Budget!$P$3,0)</f>
        <v>0</v>
      </c>
      <c r="U148" s="17">
        <f>N("Audible")-IF(DAY(A148)=Budget!$Q$12,Budget!$P$12,0)</f>
        <v>0</v>
      </c>
      <c r="V148" s="17">
        <f>N("Crunchyroll")-IF(DAY(A148)=Budget!$Q$5,Budget!$P$5,0)</f>
        <v>0</v>
      </c>
      <c r="W148" s="17">
        <f>N("HBO Max")-IF(DAY(A148)=Budget!$Q$6,Budget!$P$6,0)</f>
        <v>0</v>
      </c>
      <c r="X148" s="17">
        <f>N("Netflix")-IF(DAY(A148)=Budget!$Q$7,Budget!$P$7,0)</f>
        <v>0</v>
      </c>
      <c r="Y148" s="17">
        <f>N("Spotify")-IF(DAY(A148)=Budget!$Q$8,Budget!$P$8,0)</f>
        <v>0</v>
      </c>
      <c r="Z148" s="17">
        <f>N("Truebill")-IF(DAY(A148)=Budget!$Q$9,Budget!$P$9,0)</f>
        <v>0</v>
      </c>
      <c r="AA148" s="6">
        <f t="shared" si="16"/>
        <v>0</v>
      </c>
    </row>
    <row r="149" spans="1:27" x14ac:dyDescent="0.3">
      <c r="A149" s="4">
        <f t="shared" si="17"/>
        <v>45789</v>
      </c>
      <c r="B149" s="2">
        <f t="shared" si="18"/>
        <v>3392.39</v>
      </c>
      <c r="C149" s="7">
        <f t="shared" si="19"/>
        <v>0</v>
      </c>
      <c r="D149" s="1">
        <v>0</v>
      </c>
      <c r="E149" s="17">
        <f>N("PAY-LM")+IF(WEEKDAY(A149)=Budget!$C$3,Budget!$B$3,0)</f>
        <v>0</v>
      </c>
      <c r="F149" s="17">
        <f>N("Rent")-IF(DAY(A149)=Budget!$G$3,Budget!$F$3,0)</f>
        <v>0</v>
      </c>
      <c r="G149" s="17">
        <f>N("Car")-IF(DAY(A149)=Budget!$G$4,Budget!$F$4+Budget!$H$4,0)</f>
        <v>0</v>
      </c>
      <c r="H149" s="17">
        <f>N("Mom Rent")-IF(DAY(A149)=Budget!$G$5,Budget!$F$5,0)</f>
        <v>0</v>
      </c>
      <c r="I149" s="17">
        <f>N("AT&amp;T")-IF(DAY(A149)=Budget!$G$8,Budget!$F$8,0)</f>
        <v>0</v>
      </c>
      <c r="J149" s="17">
        <f>N("GA Power")-IF(DAY(A149)=Budget!$G$9,Budget!$F$9,0)</f>
        <v>0</v>
      </c>
      <c r="K149" s="17">
        <f>N("Haircut")-IF(DAY(A149)=Budget!$G$10,Budget!$F$10,0)</f>
        <v>0</v>
      </c>
      <c r="L149" s="17">
        <f>N("Groceries")-IF(DAY(A149)=Budget!$G$6,Budget!$F$6,0)</f>
        <v>0</v>
      </c>
      <c r="M149" s="17">
        <f>N("Savings")-IF(DAY(A149)=Budget!$G$7,Budget!$F$7,0)</f>
        <v>0</v>
      </c>
      <c r="N149" s="17">
        <f>N("Car Insurance")-COUNTIF(Budget!$G$14, A149)*Budget!$F$14</f>
        <v>0</v>
      </c>
      <c r="O149" s="17">
        <f>N("Phone Bill")-COUNTIF(Budget!$G$15, A149)*Budget!$F$15</f>
        <v>0</v>
      </c>
      <c r="Q149" s="17">
        <f>N("Spotify")-IF(AND(DAY($A149)=Budget!$M$3, MONTH($A149)=Budget!$L$3),Budget!$K$3,0)</f>
        <v>0</v>
      </c>
      <c r="R149" s="17">
        <f>N("Spotify")-IF(AND(DAY($A149)=Budget!$M$4, MONTH($A149)=Budget!$L$4),Budget!$K$4,0)</f>
        <v>0</v>
      </c>
      <c r="S149" s="17">
        <f>N("Spotify")-IF(AND(DAY($A149)=Budget!$M$5, MONTH($A149)=Budget!$L$5),Budget!$K$5,0)</f>
        <v>0</v>
      </c>
      <c r="T149" s="17">
        <f>N("Amazon Prime")-IF(DAY(A149)=Budget!$Q$3,Budget!$P$3,0)</f>
        <v>0</v>
      </c>
      <c r="U149" s="17">
        <f>N("Audible")-IF(DAY(A149)=Budget!$Q$12,Budget!$P$12,0)</f>
        <v>0</v>
      </c>
      <c r="V149" s="17">
        <f>N("Crunchyroll")-IF(DAY(A149)=Budget!$Q$5,Budget!$P$5,0)</f>
        <v>0</v>
      </c>
      <c r="W149" s="17">
        <f>N("HBO Max")-IF(DAY(A149)=Budget!$Q$6,Budget!$P$6,0)</f>
        <v>0</v>
      </c>
      <c r="X149" s="17">
        <f>N("Netflix")-IF(DAY(A149)=Budget!$Q$7,Budget!$P$7,0)</f>
        <v>-6</v>
      </c>
      <c r="Y149" s="17">
        <f>N("Spotify")-IF(DAY(A149)=Budget!$Q$8,Budget!$P$8,0)</f>
        <v>0</v>
      </c>
      <c r="Z149" s="17">
        <f>N("Truebill")-IF(DAY(A149)=Budget!$Q$9,Budget!$P$9,0)</f>
        <v>0</v>
      </c>
      <c r="AA149" s="6">
        <f t="shared" si="16"/>
        <v>-6</v>
      </c>
    </row>
    <row r="150" spans="1:27" x14ac:dyDescent="0.3">
      <c r="A150" s="4">
        <f t="shared" si="17"/>
        <v>45790</v>
      </c>
      <c r="B150" s="2">
        <f t="shared" si="18"/>
        <v>3392.39</v>
      </c>
      <c r="C150" s="7">
        <f t="shared" si="19"/>
        <v>1</v>
      </c>
      <c r="D150" s="1">
        <v>0</v>
      </c>
      <c r="E150" s="17">
        <f>N("PAY-LM")+IF(WEEKDAY(A150)=Budget!$C$3,Budget!$B$3,0)</f>
        <v>0</v>
      </c>
      <c r="F150" s="17">
        <f>N("Rent")-IF(DAY(A150)=Budget!$G$3,Budget!$F$3,0)</f>
        <v>0</v>
      </c>
      <c r="G150" s="17">
        <f>N("Car")-IF(DAY(A150)=Budget!$G$4,Budget!$F$4+Budget!$H$4,0)</f>
        <v>0</v>
      </c>
      <c r="H150" s="17">
        <f>N("Mom Rent")-IF(DAY(A150)=Budget!$G$5,Budget!$F$5,0)</f>
        <v>0</v>
      </c>
      <c r="I150" s="17">
        <f>N("AT&amp;T")-IF(DAY(A150)=Budget!$G$8,Budget!$F$8,0)</f>
        <v>0</v>
      </c>
      <c r="J150" s="17">
        <f>N("GA Power")-IF(DAY(A150)=Budget!$G$9,Budget!$F$9,0)</f>
        <v>0</v>
      </c>
      <c r="K150" s="17">
        <f>N("Haircut")-IF(DAY(A150)=Budget!$G$10,Budget!$F$10,0)</f>
        <v>0</v>
      </c>
      <c r="L150" s="17">
        <f>N("Groceries")-IF(DAY(A150)=Budget!$G$6,Budget!$F$6,0)</f>
        <v>0</v>
      </c>
      <c r="M150" s="17">
        <f>N("Savings")-IF(DAY(A150)=Budget!$G$7,Budget!$F$7,0)</f>
        <v>0</v>
      </c>
      <c r="N150" s="17">
        <f>N("Car Insurance")-COUNTIF(Budget!$G$14, A150)*Budget!$F$14</f>
        <v>0</v>
      </c>
      <c r="O150" s="17">
        <f>N("Phone Bill")-COUNTIF(Budget!$G$15, A150)*Budget!$F$15</f>
        <v>0</v>
      </c>
      <c r="Q150" s="17">
        <f>N("Spotify")-IF(AND(DAY($A150)=Budget!$M$3, MONTH($A150)=Budget!$L$3),Budget!$K$3,0)</f>
        <v>0</v>
      </c>
      <c r="R150" s="17">
        <f>N("Spotify")-IF(AND(DAY($A150)=Budget!$M$4, MONTH($A150)=Budget!$L$4),Budget!$K$4,0)</f>
        <v>0</v>
      </c>
      <c r="S150" s="17">
        <f>N("Spotify")-IF(AND(DAY($A150)=Budget!$M$5, MONTH($A150)=Budget!$L$5),Budget!$K$5,0)</f>
        <v>0</v>
      </c>
      <c r="T150" s="17">
        <f>N("Amazon Prime")-IF(DAY(A150)=Budget!$Q$3,Budget!$P$3,0)</f>
        <v>0</v>
      </c>
      <c r="U150" s="17">
        <f>N("Audible")-IF(DAY(A150)=Budget!$Q$12,Budget!$P$12,0)</f>
        <v>0</v>
      </c>
      <c r="V150" s="17">
        <f>N("Crunchyroll")-IF(DAY(A150)=Budget!$Q$5,Budget!$P$5,0)</f>
        <v>0</v>
      </c>
      <c r="W150" s="17">
        <f>N("HBO Max")-IF(DAY(A150)=Budget!$Q$6,Budget!$P$6,0)</f>
        <v>0</v>
      </c>
      <c r="X150" s="17">
        <f>N("Netflix")-IF(DAY(A150)=Budget!$Q$7,Budget!$P$7,0)</f>
        <v>0</v>
      </c>
      <c r="Y150" s="17">
        <f>N("Spotify")-IF(DAY(A150)=Budget!$Q$8,Budget!$P$8,0)</f>
        <v>0</v>
      </c>
      <c r="Z150" s="17">
        <f>N("Truebill")-IF(DAY(A150)=Budget!$Q$9,Budget!$P$9,0)</f>
        <v>0</v>
      </c>
      <c r="AA150" s="6">
        <f t="shared" si="16"/>
        <v>0</v>
      </c>
    </row>
    <row r="151" spans="1:27" x14ac:dyDescent="0.3">
      <c r="A151" s="4">
        <f t="shared" si="17"/>
        <v>45791</v>
      </c>
      <c r="B151" s="2">
        <f t="shared" si="18"/>
        <v>3392.39</v>
      </c>
      <c r="C151" s="7">
        <f t="shared" si="19"/>
        <v>1</v>
      </c>
      <c r="D151" s="1">
        <v>0</v>
      </c>
      <c r="E151" s="17">
        <f>N("PAY-LM")+IF(WEEKDAY(A151)=Budget!$C$3,Budget!$B$3,0)</f>
        <v>0</v>
      </c>
      <c r="F151" s="17">
        <f>N("Rent")-IF(DAY(A151)=Budget!$G$3,Budget!$F$3,0)</f>
        <v>0</v>
      </c>
      <c r="G151" s="17">
        <f>N("Car")-IF(DAY(A151)=Budget!$G$4,Budget!$F$4+Budget!$H$4,0)</f>
        <v>0</v>
      </c>
      <c r="H151" s="17">
        <f>N("Mom Rent")-IF(DAY(A151)=Budget!$G$5,Budget!$F$5,0)</f>
        <v>0</v>
      </c>
      <c r="I151" s="17">
        <f>N("AT&amp;T")-IF(DAY(A151)=Budget!$G$8,Budget!$F$8,0)</f>
        <v>0</v>
      </c>
      <c r="J151" s="17">
        <f>N("GA Power")-IF(DAY(A151)=Budget!$G$9,Budget!$F$9,0)</f>
        <v>0</v>
      </c>
      <c r="K151" s="17">
        <f>N("Haircut")-IF(DAY(A151)=Budget!$G$10,Budget!$F$10,0)</f>
        <v>0</v>
      </c>
      <c r="L151" s="17">
        <f>N("Groceries")-IF(DAY(A151)=Budget!$G$6,Budget!$F$6,0)</f>
        <v>0</v>
      </c>
      <c r="M151" s="17">
        <f>N("Savings")-IF(DAY(A151)=Budget!$G$7,Budget!$F$7,0)</f>
        <v>0</v>
      </c>
      <c r="N151" s="17">
        <f>N("Car Insurance")-COUNTIF(Budget!$G$14, A151)*Budget!$F$14</f>
        <v>0</v>
      </c>
      <c r="O151" s="17">
        <f>N("Phone Bill")-COUNTIF(Budget!$G$15, A151)*Budget!$F$15</f>
        <v>0</v>
      </c>
      <c r="Q151" s="17">
        <f>N("Spotify")-IF(AND(DAY($A151)=Budget!$M$3, MONTH($A151)=Budget!$L$3),Budget!$K$3,0)</f>
        <v>0</v>
      </c>
      <c r="R151" s="17">
        <f>N("Spotify")-IF(AND(DAY($A151)=Budget!$M$4, MONTH($A151)=Budget!$L$4),Budget!$K$4,0)</f>
        <v>0</v>
      </c>
      <c r="S151" s="17">
        <f>N("Spotify")-IF(AND(DAY($A151)=Budget!$M$5, MONTH($A151)=Budget!$L$5),Budget!$K$5,0)</f>
        <v>0</v>
      </c>
      <c r="T151" s="17">
        <f>N("Amazon Prime")-IF(DAY(A151)=Budget!$Q$3,Budget!$P$3,0)</f>
        <v>0</v>
      </c>
      <c r="U151" s="17">
        <f>N("Audible")-IF(DAY(A151)=Budget!$Q$12,Budget!$P$12,0)</f>
        <v>0</v>
      </c>
      <c r="V151" s="17">
        <f>N("Crunchyroll")-IF(DAY(A151)=Budget!$Q$5,Budget!$P$5,0)</f>
        <v>0</v>
      </c>
      <c r="W151" s="17">
        <f>N("HBO Max")-IF(DAY(A151)=Budget!$Q$6,Budget!$P$6,0)</f>
        <v>0</v>
      </c>
      <c r="X151" s="17">
        <f>N("Netflix")-IF(DAY(A151)=Budget!$Q$7,Budget!$P$7,0)</f>
        <v>0</v>
      </c>
      <c r="Y151" s="17">
        <f>N("Spotify")-IF(DAY(A151)=Budget!$Q$8,Budget!$P$8,0)</f>
        <v>0</v>
      </c>
      <c r="Z151" s="17">
        <f>N("Truebill")-IF(DAY(A151)=Budget!$Q$9,Budget!$P$9,0)</f>
        <v>0</v>
      </c>
      <c r="AA151" s="6">
        <f t="shared" si="16"/>
        <v>0</v>
      </c>
    </row>
    <row r="152" spans="1:27" x14ac:dyDescent="0.3">
      <c r="A152" s="4">
        <f t="shared" si="17"/>
        <v>45792</v>
      </c>
      <c r="B152" s="2">
        <f t="shared" si="18"/>
        <v>3392.39</v>
      </c>
      <c r="C152" s="7">
        <f t="shared" si="19"/>
        <v>1</v>
      </c>
      <c r="D152" s="1">
        <v>0</v>
      </c>
      <c r="E152" s="17">
        <f>N("PAY-LM")+IF(WEEKDAY(A152)=Budget!$C$3,Budget!$B$3,0)</f>
        <v>0</v>
      </c>
      <c r="F152" s="17">
        <f>N("Rent")-IF(DAY(A152)=Budget!$G$3,Budget!$F$3,0)</f>
        <v>0</v>
      </c>
      <c r="G152" s="17">
        <f>N("Car")-IF(DAY(A152)=Budget!$G$4,Budget!$F$4+Budget!$H$4,0)</f>
        <v>0</v>
      </c>
      <c r="H152" s="17">
        <f>N("Mom Rent")-IF(DAY(A152)=Budget!$G$5,Budget!$F$5,0)</f>
        <v>0</v>
      </c>
      <c r="I152" s="17">
        <f>N("AT&amp;T")-IF(DAY(A152)=Budget!$G$8,Budget!$F$8,0)</f>
        <v>0</v>
      </c>
      <c r="J152" s="17">
        <f>N("GA Power")-IF(DAY(A152)=Budget!$G$9,Budget!$F$9,0)</f>
        <v>0</v>
      </c>
      <c r="K152" s="17">
        <f>N("Haircut")-IF(DAY(A152)=Budget!$G$10,Budget!$F$10,0)</f>
        <v>0</v>
      </c>
      <c r="L152" s="17">
        <f>N("Groceries")-IF(DAY(A152)=Budget!$G$6,Budget!$F$6,0)</f>
        <v>0</v>
      </c>
      <c r="M152" s="17">
        <f>N("Savings")-IF(DAY(A152)=Budget!$G$7,Budget!$F$7,0)</f>
        <v>0</v>
      </c>
      <c r="N152" s="17">
        <f>N("Car Insurance")-COUNTIF(Budget!$G$14, A152)*Budget!$F$14</f>
        <v>0</v>
      </c>
      <c r="O152" s="17">
        <f>N("Phone Bill")-COUNTIF(Budget!$G$15, A152)*Budget!$F$15</f>
        <v>0</v>
      </c>
      <c r="Q152" s="17">
        <f>N("Spotify")-IF(AND(DAY($A152)=Budget!$M$3, MONTH($A152)=Budget!$L$3),Budget!$K$3,0)</f>
        <v>0</v>
      </c>
      <c r="R152" s="17">
        <f>N("Spotify")-IF(AND(DAY($A152)=Budget!$M$4, MONTH($A152)=Budget!$L$4),Budget!$K$4,0)</f>
        <v>0</v>
      </c>
      <c r="S152" s="17">
        <f>N("Spotify")-IF(AND(DAY($A152)=Budget!$M$5, MONTH($A152)=Budget!$L$5),Budget!$K$5,0)</f>
        <v>0</v>
      </c>
      <c r="T152" s="17">
        <f>N("Amazon Prime")-IF(DAY(A152)=Budget!$Q$3,Budget!$P$3,0)</f>
        <v>0</v>
      </c>
      <c r="U152" s="17">
        <f>N("Audible")-IF(DAY(A152)=Budget!$Q$12,Budget!$P$12,0)</f>
        <v>0</v>
      </c>
      <c r="V152" s="17">
        <f>N("Crunchyroll")-IF(DAY(A152)=Budget!$Q$5,Budget!$P$5,0)</f>
        <v>0</v>
      </c>
      <c r="W152" s="17">
        <f>N("HBO Max")-IF(DAY(A152)=Budget!$Q$6,Budget!$P$6,0)</f>
        <v>0</v>
      </c>
      <c r="X152" s="17">
        <f>N("Netflix")-IF(DAY(A152)=Budget!$Q$7,Budget!$P$7,0)</f>
        <v>0</v>
      </c>
      <c r="Y152" s="17">
        <f>N("Spotify")-IF(DAY(A152)=Budget!$Q$8,Budget!$P$8,0)</f>
        <v>0</v>
      </c>
      <c r="Z152" s="17">
        <f>N("Truebill")-IF(DAY(A152)=Budget!$Q$9,Budget!$P$9,0)</f>
        <v>0</v>
      </c>
      <c r="AA152" s="6">
        <f t="shared" si="16"/>
        <v>0</v>
      </c>
    </row>
    <row r="153" spans="1:27" x14ac:dyDescent="0.3">
      <c r="A153" s="4">
        <f t="shared" si="17"/>
        <v>45793</v>
      </c>
      <c r="B153" s="2">
        <f t="shared" si="18"/>
        <v>4845.3899999999994</v>
      </c>
      <c r="C153" s="7">
        <f t="shared" si="19"/>
        <v>2</v>
      </c>
      <c r="D153" s="1">
        <v>0</v>
      </c>
      <c r="E153" s="17">
        <f>N("PAY-LM")+IF(WEEKDAY(A153)=Budget!$C$3,Budget!$B$3,0)</f>
        <v>1453</v>
      </c>
      <c r="F153" s="17">
        <f>N("Rent")-IF(DAY(A153)=Budget!$G$3,Budget!$F$3,0)</f>
        <v>0</v>
      </c>
      <c r="G153" s="17">
        <f>N("Car")-IF(DAY(A153)=Budget!$G$4,Budget!$F$4+Budget!$H$4,0)</f>
        <v>0</v>
      </c>
      <c r="H153" s="17">
        <f>N("Mom Rent")-IF(DAY(A153)=Budget!$G$5,Budget!$F$5,0)</f>
        <v>0</v>
      </c>
      <c r="I153" s="17">
        <f>N("AT&amp;T")-IF(DAY(A153)=Budget!$G$8,Budget!$F$8,0)</f>
        <v>0</v>
      </c>
      <c r="J153" s="17">
        <f>N("GA Power")-IF(DAY(A153)=Budget!$G$9,Budget!$F$9,0)</f>
        <v>0</v>
      </c>
      <c r="K153" s="17">
        <f>N("Haircut")-IF(DAY(A153)=Budget!$G$10,Budget!$F$10,0)</f>
        <v>0</v>
      </c>
      <c r="L153" s="17">
        <f>N("Groceries")-IF(DAY(A153)=Budget!$G$6,Budget!$F$6,0)</f>
        <v>0</v>
      </c>
      <c r="M153" s="17">
        <f>N("Savings")-IF(DAY(A153)=Budget!$G$7,Budget!$F$7,0)</f>
        <v>0</v>
      </c>
      <c r="N153" s="17">
        <f>N("Car Insurance")-COUNTIF(Budget!$G$14, A153)*Budget!$F$14</f>
        <v>0</v>
      </c>
      <c r="O153" s="17">
        <f>N("Phone Bill")-COUNTIF(Budget!$G$15, A153)*Budget!$F$15</f>
        <v>0</v>
      </c>
      <c r="Q153" s="17">
        <f>N("Spotify")-IF(AND(DAY($A153)=Budget!$M$3, MONTH($A153)=Budget!$L$3),Budget!$K$3,0)</f>
        <v>0</v>
      </c>
      <c r="R153" s="17">
        <f>N("Spotify")-IF(AND(DAY($A153)=Budget!$M$4, MONTH($A153)=Budget!$L$4),Budget!$K$4,0)</f>
        <v>0</v>
      </c>
      <c r="S153" s="17">
        <f>N("Spotify")-IF(AND(DAY($A153)=Budget!$M$5, MONTH($A153)=Budget!$L$5),Budget!$K$5,0)</f>
        <v>0</v>
      </c>
      <c r="T153" s="17">
        <f>N("Amazon Prime")-IF(DAY(A153)=Budget!$Q$3,Budget!$P$3,0)</f>
        <v>0</v>
      </c>
      <c r="U153" s="17">
        <f>N("Audible")-IF(DAY(A153)=Budget!$Q$12,Budget!$P$12,0)</f>
        <v>0</v>
      </c>
      <c r="V153" s="17">
        <f>N("Crunchyroll")-IF(DAY(A153)=Budget!$Q$5,Budget!$P$5,0)</f>
        <v>0</v>
      </c>
      <c r="W153" s="17">
        <f>N("HBO Max")-IF(DAY(A153)=Budget!$Q$6,Budget!$P$6,0)</f>
        <v>0</v>
      </c>
      <c r="X153" s="17">
        <f>N("Netflix")-IF(DAY(A153)=Budget!$Q$7,Budget!$P$7,0)</f>
        <v>0</v>
      </c>
      <c r="Y153" s="17">
        <f>N("Spotify")-IF(DAY(A153)=Budget!$Q$8,Budget!$P$8,0)</f>
        <v>0</v>
      </c>
      <c r="Z153" s="17">
        <f>N("Truebill")-IF(DAY(A153)=Budget!$Q$9,Budget!$P$9,0)</f>
        <v>0</v>
      </c>
      <c r="AA153" s="6">
        <f t="shared" si="16"/>
        <v>1453</v>
      </c>
    </row>
    <row r="154" spans="1:27" x14ac:dyDescent="0.3">
      <c r="A154" s="4">
        <f t="shared" si="17"/>
        <v>45794</v>
      </c>
      <c r="B154" s="2">
        <f t="shared" si="18"/>
        <v>2846.3899999999994</v>
      </c>
      <c r="C154" s="7">
        <f t="shared" si="19"/>
        <v>0</v>
      </c>
      <c r="D154" s="1">
        <v>-1999</v>
      </c>
      <c r="E154" s="17">
        <f>N("PAY-LM")+IF(WEEKDAY(A154)=Budget!$C$3,Budget!$B$3,0)</f>
        <v>0</v>
      </c>
      <c r="F154" s="17">
        <f>N("Rent")-IF(DAY(A154)=Budget!$G$3,Budget!$F$3,0)</f>
        <v>0</v>
      </c>
      <c r="G154" s="17">
        <f>N("Car")-IF(DAY(A154)=Budget!$G$4,Budget!$F$4+Budget!$H$4,0)</f>
        <v>0</v>
      </c>
      <c r="H154" s="17">
        <f>N("Mom Rent")-IF(DAY(A154)=Budget!$G$5,Budget!$F$5,0)</f>
        <v>0</v>
      </c>
      <c r="I154" s="17">
        <f>N("AT&amp;T")-IF(DAY(A154)=Budget!$G$8,Budget!$F$8,0)</f>
        <v>0</v>
      </c>
      <c r="J154" s="17">
        <f>N("GA Power")-IF(DAY(A154)=Budget!$G$9,Budget!$F$9,0)</f>
        <v>0</v>
      </c>
      <c r="K154" s="17">
        <f>N("Haircut")-IF(DAY(A154)=Budget!$G$10,Budget!$F$10,0)</f>
        <v>0</v>
      </c>
      <c r="L154" s="17">
        <f>N("Groceries")-IF(DAY(A154)=Budget!$G$6,Budget!$F$6,0)</f>
        <v>0</v>
      </c>
      <c r="M154" s="17">
        <f>N("Savings")-IF(DAY(A154)=Budget!$G$7,Budget!$F$7,0)</f>
        <v>0</v>
      </c>
      <c r="N154" s="17">
        <f>N("Car Insurance")-COUNTIF(Budget!$G$14, A154)*Budget!$F$14</f>
        <v>0</v>
      </c>
      <c r="O154" s="17">
        <f>N("Phone Bill")-COUNTIF(Budget!$G$15, A154)*Budget!$F$15</f>
        <v>0</v>
      </c>
      <c r="Q154" s="17">
        <f>N("Spotify")-IF(AND(DAY($A154)=Budget!$M$3, MONTH($A154)=Budget!$L$3),Budget!$K$3,0)</f>
        <v>0</v>
      </c>
      <c r="R154" s="17">
        <f>N("Spotify")-IF(AND(DAY($A154)=Budget!$M$4, MONTH($A154)=Budget!$L$4),Budget!$K$4,0)</f>
        <v>0</v>
      </c>
      <c r="S154" s="17">
        <f>N("Spotify")-IF(AND(DAY($A154)=Budget!$M$5, MONTH($A154)=Budget!$L$5),Budget!$K$5,0)</f>
        <v>0</v>
      </c>
      <c r="T154" s="17">
        <f>N("Amazon Prime")-IF(DAY(A154)=Budget!$Q$3,Budget!$P$3,0)</f>
        <v>0</v>
      </c>
      <c r="U154" s="17">
        <f>N("Audible")-IF(DAY(A154)=Budget!$Q$12,Budget!$P$12,0)</f>
        <v>0</v>
      </c>
      <c r="V154" s="17">
        <f>N("Crunchyroll")-IF(DAY(A154)=Budget!$Q$5,Budget!$P$5,0)</f>
        <v>0</v>
      </c>
      <c r="W154" s="17">
        <f>N("HBO Max")-IF(DAY(A154)=Budget!$Q$6,Budget!$P$6,0)</f>
        <v>0</v>
      </c>
      <c r="X154" s="17">
        <f>N("Netflix")-IF(DAY(A154)=Budget!$Q$7,Budget!$P$7,0)</f>
        <v>0</v>
      </c>
      <c r="Y154" s="17">
        <f>N("Spotify")-IF(DAY(A154)=Budget!$Q$8,Budget!$P$8,0)</f>
        <v>0</v>
      </c>
      <c r="Z154" s="17">
        <f>N("Truebill")-IF(DAY(A154)=Budget!$Q$9,Budget!$P$9,0)</f>
        <v>0</v>
      </c>
      <c r="AA154" s="6">
        <f t="shared" si="16"/>
        <v>-1999</v>
      </c>
    </row>
    <row r="155" spans="1:27" x14ac:dyDescent="0.3">
      <c r="A155" s="4">
        <f t="shared" si="17"/>
        <v>45795</v>
      </c>
      <c r="B155" s="2">
        <f t="shared" si="18"/>
        <v>2781.3899999999994</v>
      </c>
      <c r="C155" s="7">
        <f t="shared" si="19"/>
        <v>0</v>
      </c>
      <c r="D155" s="1">
        <v>0</v>
      </c>
      <c r="E155" s="17">
        <f>N("PAY-LM")+IF(WEEKDAY(A155)=Budget!$C$3,Budget!$B$3,0)</f>
        <v>0</v>
      </c>
      <c r="F155" s="17">
        <f>N("Rent")-IF(DAY(A155)=Budget!$G$3,Budget!$F$3,0)</f>
        <v>0</v>
      </c>
      <c r="G155" s="17">
        <f>N("Car")-IF(DAY(A155)=Budget!$G$4,Budget!$F$4+Budget!$H$4,0)</f>
        <v>0</v>
      </c>
      <c r="H155" s="17">
        <f>N("Mom Rent")-IF(DAY(A155)=Budget!$G$5,Budget!$F$5,0)</f>
        <v>0</v>
      </c>
      <c r="I155" s="17">
        <f>N("AT&amp;T")-IF(DAY(A155)=Budget!$G$8,Budget!$F$8,0)</f>
        <v>-65</v>
      </c>
      <c r="J155" s="17">
        <f>N("GA Power")-IF(DAY(A155)=Budget!$G$9,Budget!$F$9,0)</f>
        <v>0</v>
      </c>
      <c r="K155" s="17">
        <f>N("Haircut")-IF(DAY(A155)=Budget!$G$10,Budget!$F$10,0)</f>
        <v>0</v>
      </c>
      <c r="L155" s="17">
        <f>N("Groceries")-IF(DAY(A155)=Budget!$G$6,Budget!$F$6,0)</f>
        <v>0</v>
      </c>
      <c r="M155" s="17">
        <f>N("Savings")-IF(DAY(A155)=Budget!$G$7,Budget!$F$7,0)</f>
        <v>0</v>
      </c>
      <c r="N155" s="17">
        <f>N("Car Insurance")-COUNTIF(Budget!$G$14, A155)*Budget!$F$14</f>
        <v>0</v>
      </c>
      <c r="O155" s="17">
        <f>N("Phone Bill")-COUNTIF(Budget!$G$15, A155)*Budget!$F$15</f>
        <v>0</v>
      </c>
      <c r="Q155" s="17">
        <f>N("Spotify")-IF(AND(DAY($A155)=Budget!$M$3, MONTH($A155)=Budget!$L$3),Budget!$K$3,0)</f>
        <v>0</v>
      </c>
      <c r="R155" s="17">
        <f>N("Spotify")-IF(AND(DAY($A155)=Budget!$M$4, MONTH($A155)=Budget!$L$4),Budget!$K$4,0)</f>
        <v>0</v>
      </c>
      <c r="S155" s="17">
        <f>N("Spotify")-IF(AND(DAY($A155)=Budget!$M$5, MONTH($A155)=Budget!$L$5),Budget!$K$5,0)</f>
        <v>0</v>
      </c>
      <c r="T155" s="17">
        <f>N("Amazon Prime")-IF(DAY(A155)=Budget!$Q$3,Budget!$P$3,0)</f>
        <v>0</v>
      </c>
      <c r="U155" s="17">
        <f>N("Audible")-IF(DAY(A155)=Budget!$Q$12,Budget!$P$12,0)</f>
        <v>0</v>
      </c>
      <c r="V155" s="17">
        <f>N("Crunchyroll")-IF(DAY(A155)=Budget!$Q$5,Budget!$P$5,0)</f>
        <v>0</v>
      </c>
      <c r="W155" s="17">
        <f>N("HBO Max")-IF(DAY(A155)=Budget!$Q$6,Budget!$P$6,0)</f>
        <v>0</v>
      </c>
      <c r="X155" s="17">
        <f>N("Netflix")-IF(DAY(A155)=Budget!$Q$7,Budget!$P$7,0)</f>
        <v>0</v>
      </c>
      <c r="Y155" s="17">
        <f>N("Spotify")-IF(DAY(A155)=Budget!$Q$8,Budget!$P$8,0)</f>
        <v>0</v>
      </c>
      <c r="Z155" s="17">
        <f>N("Truebill")-IF(DAY(A155)=Budget!$Q$9,Budget!$P$9,0)</f>
        <v>0</v>
      </c>
      <c r="AA155" s="6">
        <f t="shared" si="16"/>
        <v>-65</v>
      </c>
    </row>
    <row r="156" spans="1:27" x14ac:dyDescent="0.3">
      <c r="A156" s="4">
        <f t="shared" si="17"/>
        <v>45796</v>
      </c>
      <c r="B156" s="2">
        <f t="shared" si="18"/>
        <v>2781.3899999999994</v>
      </c>
      <c r="C156" s="7">
        <f t="shared" si="19"/>
        <v>1</v>
      </c>
      <c r="D156" s="1">
        <v>0</v>
      </c>
      <c r="E156" s="17">
        <f>N("PAY-LM")+IF(WEEKDAY(A156)=Budget!$C$3,Budget!$B$3,0)</f>
        <v>0</v>
      </c>
      <c r="F156" s="17">
        <f>N("Rent")-IF(DAY(A156)=Budget!$G$3,Budget!$F$3,0)</f>
        <v>0</v>
      </c>
      <c r="G156" s="17">
        <f>N("Car")-IF(DAY(A156)=Budget!$G$4,Budget!$F$4+Budget!$H$4,0)</f>
        <v>0</v>
      </c>
      <c r="H156" s="17">
        <f>N("Mom Rent")-IF(DAY(A156)=Budget!$G$5,Budget!$F$5,0)</f>
        <v>0</v>
      </c>
      <c r="I156" s="17">
        <f>N("AT&amp;T")-IF(DAY(A156)=Budget!$G$8,Budget!$F$8,0)</f>
        <v>0</v>
      </c>
      <c r="J156" s="17">
        <f>N("GA Power")-IF(DAY(A156)=Budget!$G$9,Budget!$F$9,0)</f>
        <v>0</v>
      </c>
      <c r="K156" s="17">
        <f>N("Haircut")-IF(DAY(A156)=Budget!$G$10,Budget!$F$10,0)</f>
        <v>0</v>
      </c>
      <c r="L156" s="17">
        <f>N("Groceries")-IF(DAY(A156)=Budget!$G$6,Budget!$F$6,0)</f>
        <v>0</v>
      </c>
      <c r="M156" s="17">
        <f>N("Savings")-IF(DAY(A156)=Budget!$G$7,Budget!$F$7,0)</f>
        <v>0</v>
      </c>
      <c r="N156" s="17">
        <f>N("Car Insurance")-COUNTIF(Budget!$G$14, A156)*Budget!$F$14</f>
        <v>0</v>
      </c>
      <c r="O156" s="17">
        <f>N("Phone Bill")-COUNTIF(Budget!$G$15, A156)*Budget!$F$15</f>
        <v>0</v>
      </c>
      <c r="Q156" s="17">
        <f>N("Spotify")-IF(AND(DAY($A156)=Budget!$M$3, MONTH($A156)=Budget!$L$3),Budget!$K$3,0)</f>
        <v>0</v>
      </c>
      <c r="R156" s="17">
        <f>N("Spotify")-IF(AND(DAY($A156)=Budget!$M$4, MONTH($A156)=Budget!$L$4),Budget!$K$4,0)</f>
        <v>0</v>
      </c>
      <c r="S156" s="17">
        <f>N("Spotify")-IF(AND(DAY($A156)=Budget!$M$5, MONTH($A156)=Budget!$L$5),Budget!$K$5,0)</f>
        <v>0</v>
      </c>
      <c r="T156" s="17">
        <f>N("Amazon Prime")-IF(DAY(A156)=Budget!$Q$3,Budget!$P$3,0)</f>
        <v>0</v>
      </c>
      <c r="U156" s="17">
        <f>N("Audible")-IF(DAY(A156)=Budget!$Q$12,Budget!$P$12,0)</f>
        <v>0</v>
      </c>
      <c r="V156" s="17">
        <f>N("Crunchyroll")-IF(DAY(A156)=Budget!$Q$5,Budget!$P$5,0)</f>
        <v>0</v>
      </c>
      <c r="W156" s="17">
        <f>N("HBO Max")-IF(DAY(A156)=Budget!$Q$6,Budget!$P$6,0)</f>
        <v>0</v>
      </c>
      <c r="X156" s="17">
        <f>N("Netflix")-IF(DAY(A156)=Budget!$Q$7,Budget!$P$7,0)</f>
        <v>0</v>
      </c>
      <c r="Y156" s="17">
        <f>N("Spotify")-IF(DAY(A156)=Budget!$Q$8,Budget!$P$8,0)</f>
        <v>0</v>
      </c>
      <c r="Z156" s="17">
        <f>N("Truebill")-IF(DAY(A156)=Budget!$Q$9,Budget!$P$9,0)</f>
        <v>0</v>
      </c>
      <c r="AA156" s="6">
        <f t="shared" si="16"/>
        <v>0</v>
      </c>
    </row>
    <row r="157" spans="1:27" x14ac:dyDescent="0.3">
      <c r="A157" s="4">
        <f t="shared" si="17"/>
        <v>45797</v>
      </c>
      <c r="B157" s="2">
        <f t="shared" si="18"/>
        <v>1931.3899999999994</v>
      </c>
      <c r="C157" s="7">
        <f t="shared" si="19"/>
        <v>0</v>
      </c>
      <c r="D157" s="1">
        <v>0</v>
      </c>
      <c r="E157" s="17">
        <f>N("PAY-LM")+IF(WEEKDAY(A157)=Budget!$C$3,Budget!$B$3,0)</f>
        <v>0</v>
      </c>
      <c r="F157" s="17">
        <f>N("Rent")-IF(DAY(A157)=Budget!$G$3,Budget!$F$3,0)</f>
        <v>0</v>
      </c>
      <c r="G157" s="17">
        <f>N("Car")-IF(DAY(A157)=Budget!$G$4,Budget!$F$4+Budget!$H$4,0)</f>
        <v>0</v>
      </c>
      <c r="H157" s="17">
        <f>N("Mom Rent")-IF(DAY(A157)=Budget!$G$5,Budget!$F$5,0)</f>
        <v>-850</v>
      </c>
      <c r="I157" s="17">
        <f>N("AT&amp;T")-IF(DAY(A157)=Budget!$G$8,Budget!$F$8,0)</f>
        <v>0</v>
      </c>
      <c r="J157" s="17">
        <f>N("GA Power")-IF(DAY(A157)=Budget!$G$9,Budget!$F$9,0)</f>
        <v>0</v>
      </c>
      <c r="K157" s="17">
        <f>N("Haircut")-IF(DAY(A157)=Budget!$G$10,Budget!$F$10,0)</f>
        <v>0</v>
      </c>
      <c r="L157" s="17">
        <f>N("Groceries")-IF(DAY(A157)=Budget!$G$6,Budget!$F$6,0)</f>
        <v>0</v>
      </c>
      <c r="M157" s="17">
        <f>N("Savings")-IF(DAY(A157)=Budget!$G$7,Budget!$F$7,0)</f>
        <v>0</v>
      </c>
      <c r="N157" s="17">
        <f>N("Car Insurance")-COUNTIF(Budget!$G$14, A157)*Budget!$F$14</f>
        <v>0</v>
      </c>
      <c r="O157" s="17">
        <f>N("Phone Bill")-COUNTIF(Budget!$G$15, A157)*Budget!$F$15</f>
        <v>0</v>
      </c>
      <c r="Q157" s="17">
        <f>N("Spotify")-IF(AND(DAY($A157)=Budget!$M$3, MONTH($A157)=Budget!$L$3),Budget!$K$3,0)</f>
        <v>0</v>
      </c>
      <c r="R157" s="17">
        <f>N("Spotify")-IF(AND(DAY($A157)=Budget!$M$4, MONTH($A157)=Budget!$L$4),Budget!$K$4,0)</f>
        <v>0</v>
      </c>
      <c r="S157" s="17">
        <f>N("Spotify")-IF(AND(DAY($A157)=Budget!$M$5, MONTH($A157)=Budget!$L$5),Budget!$K$5,0)</f>
        <v>0</v>
      </c>
      <c r="T157" s="17">
        <f>N("Amazon Prime")-IF(DAY(A157)=Budget!$Q$3,Budget!$P$3,0)</f>
        <v>0</v>
      </c>
      <c r="U157" s="17">
        <f>N("Audible")-IF(DAY(A157)=Budget!$Q$12,Budget!$P$12,0)</f>
        <v>0</v>
      </c>
      <c r="V157" s="17">
        <f>N("Crunchyroll")-IF(DAY(A157)=Budget!$Q$5,Budget!$P$5,0)</f>
        <v>0</v>
      </c>
      <c r="W157" s="17">
        <f>N("HBO Max")-IF(DAY(A157)=Budget!$Q$6,Budget!$P$6,0)</f>
        <v>0</v>
      </c>
      <c r="X157" s="17">
        <f>N("Netflix")-IF(DAY(A157)=Budget!$Q$7,Budget!$P$7,0)</f>
        <v>0</v>
      </c>
      <c r="Y157" s="17">
        <f>N("Spotify")-IF(DAY(A157)=Budget!$Q$8,Budget!$P$8,0)</f>
        <v>0</v>
      </c>
      <c r="Z157" s="17">
        <f>N("Truebill")-IF(DAY(A157)=Budget!$Q$9,Budget!$P$9,0)</f>
        <v>0</v>
      </c>
      <c r="AA157" s="6">
        <f t="shared" si="16"/>
        <v>-850</v>
      </c>
    </row>
    <row r="158" spans="1:27" x14ac:dyDescent="0.3">
      <c r="A158" s="4">
        <f t="shared" si="17"/>
        <v>45798</v>
      </c>
      <c r="B158" s="2">
        <f t="shared" si="18"/>
        <v>1931.3899999999994</v>
      </c>
      <c r="C158" s="7">
        <f t="shared" si="19"/>
        <v>1</v>
      </c>
      <c r="D158" s="1">
        <v>0</v>
      </c>
      <c r="E158" s="17">
        <f>N("PAY-LM")+IF(WEEKDAY(A158)=Budget!$C$3,Budget!$B$3,0)</f>
        <v>0</v>
      </c>
      <c r="F158" s="17">
        <f>N("Rent")-IF(DAY(A158)=Budget!$G$3,Budget!$F$3,0)</f>
        <v>0</v>
      </c>
      <c r="G158" s="17">
        <f>N("Car")-IF(DAY(A158)=Budget!$G$4,Budget!$F$4+Budget!$H$4,0)</f>
        <v>0</v>
      </c>
      <c r="H158" s="17">
        <f>N("Mom Rent")-IF(DAY(A158)=Budget!$G$5,Budget!$F$5,0)</f>
        <v>0</v>
      </c>
      <c r="I158" s="17">
        <f>N("AT&amp;T")-IF(DAY(A158)=Budget!$G$8,Budget!$F$8,0)</f>
        <v>0</v>
      </c>
      <c r="J158" s="17">
        <f>N("GA Power")-IF(DAY(A158)=Budget!$G$9,Budget!$F$9,0)</f>
        <v>0</v>
      </c>
      <c r="K158" s="17">
        <f>N("Haircut")-IF(DAY(A158)=Budget!$G$10,Budget!$F$10,0)</f>
        <v>0</v>
      </c>
      <c r="L158" s="17">
        <f>N("Groceries")-IF(DAY(A158)=Budget!$G$6,Budget!$F$6,0)</f>
        <v>0</v>
      </c>
      <c r="M158" s="17">
        <f>N("Savings")-IF(DAY(A158)=Budget!$G$7,Budget!$F$7,0)</f>
        <v>0</v>
      </c>
      <c r="N158" s="17">
        <f>N("Car Insurance")-COUNTIF(Budget!$G$14, A158)*Budget!$F$14</f>
        <v>0</v>
      </c>
      <c r="O158" s="17">
        <f>N("Phone Bill")-COUNTIF(Budget!$G$15, A158)*Budget!$F$15</f>
        <v>0</v>
      </c>
      <c r="Q158" s="17">
        <f>N("Spotify")-IF(AND(DAY($A158)=Budget!$M$3, MONTH($A158)=Budget!$L$3),Budget!$K$3,0)</f>
        <v>0</v>
      </c>
      <c r="R158" s="17">
        <f>N("Spotify")-IF(AND(DAY($A158)=Budget!$M$4, MONTH($A158)=Budget!$L$4),Budget!$K$4,0)</f>
        <v>0</v>
      </c>
      <c r="S158" s="17">
        <f>N("Spotify")-IF(AND(DAY($A158)=Budget!$M$5, MONTH($A158)=Budget!$L$5),Budget!$K$5,0)</f>
        <v>0</v>
      </c>
      <c r="T158" s="17">
        <f>N("Amazon Prime")-IF(DAY(A158)=Budget!$Q$3,Budget!$P$3,0)</f>
        <v>0</v>
      </c>
      <c r="U158" s="17">
        <f>N("Audible")-IF(DAY(A158)=Budget!$Q$12,Budget!$P$12,0)</f>
        <v>0</v>
      </c>
      <c r="V158" s="17">
        <f>N("Crunchyroll")-IF(DAY(A158)=Budget!$Q$5,Budget!$P$5,0)</f>
        <v>0</v>
      </c>
      <c r="W158" s="17">
        <f>N("HBO Max")-IF(DAY(A158)=Budget!$Q$6,Budget!$P$6,0)</f>
        <v>0</v>
      </c>
      <c r="X158" s="17">
        <f>N("Netflix")-IF(DAY(A158)=Budget!$Q$7,Budget!$P$7,0)</f>
        <v>0</v>
      </c>
      <c r="Y158" s="17">
        <f>N("Spotify")-IF(DAY(A158)=Budget!$Q$8,Budget!$P$8,0)</f>
        <v>0</v>
      </c>
      <c r="Z158" s="17">
        <f>N("Truebill")-IF(DAY(A158)=Budget!$Q$9,Budget!$P$9,0)</f>
        <v>0</v>
      </c>
      <c r="AA158" s="6">
        <f t="shared" si="16"/>
        <v>0</v>
      </c>
    </row>
    <row r="159" spans="1:27" x14ac:dyDescent="0.3">
      <c r="A159" s="4">
        <f t="shared" si="17"/>
        <v>45799</v>
      </c>
      <c r="B159" s="2">
        <f t="shared" si="18"/>
        <v>1931.3899999999994</v>
      </c>
      <c r="C159" s="7">
        <f t="shared" si="19"/>
        <v>1</v>
      </c>
      <c r="D159" s="1">
        <v>0</v>
      </c>
      <c r="E159" s="17">
        <f>N("PAY-LM")+IF(WEEKDAY(A159)=Budget!$C$3,Budget!$B$3,0)</f>
        <v>0</v>
      </c>
      <c r="F159" s="17">
        <f>N("Rent")-IF(DAY(A159)=Budget!$G$3,Budget!$F$3,0)</f>
        <v>0</v>
      </c>
      <c r="G159" s="17">
        <f>N("Car")-IF(DAY(A159)=Budget!$G$4,Budget!$F$4+Budget!$H$4,0)</f>
        <v>0</v>
      </c>
      <c r="H159" s="17">
        <f>N("Mom Rent")-IF(DAY(A159)=Budget!$G$5,Budget!$F$5,0)</f>
        <v>0</v>
      </c>
      <c r="I159" s="17">
        <f>N("AT&amp;T")-IF(DAY(A159)=Budget!$G$8,Budget!$F$8,0)</f>
        <v>0</v>
      </c>
      <c r="J159" s="17">
        <f>N("GA Power")-IF(DAY(A159)=Budget!$G$9,Budget!$F$9,0)</f>
        <v>0</v>
      </c>
      <c r="K159" s="17">
        <f>N("Haircut")-IF(DAY(A159)=Budget!$G$10,Budget!$F$10,0)</f>
        <v>0</v>
      </c>
      <c r="L159" s="17">
        <f>N("Groceries")-IF(DAY(A159)=Budget!$G$6,Budget!$F$6,0)</f>
        <v>0</v>
      </c>
      <c r="M159" s="17">
        <f>N("Savings")-IF(DAY(A159)=Budget!$G$7,Budget!$F$7,0)</f>
        <v>0</v>
      </c>
      <c r="N159" s="17">
        <f>N("Car Insurance")-COUNTIF(Budget!$G$14, A159)*Budget!$F$14</f>
        <v>0</v>
      </c>
      <c r="O159" s="17">
        <f>N("Phone Bill")-COUNTIF(Budget!$G$15, A159)*Budget!$F$15</f>
        <v>0</v>
      </c>
      <c r="Q159" s="17">
        <f>N("Spotify")-IF(AND(DAY($A159)=Budget!$M$3, MONTH($A159)=Budget!$L$3),Budget!$K$3,0)</f>
        <v>0</v>
      </c>
      <c r="R159" s="17">
        <f>N("Spotify")-IF(AND(DAY($A159)=Budget!$M$4, MONTH($A159)=Budget!$L$4),Budget!$K$4,0)</f>
        <v>0</v>
      </c>
      <c r="S159" s="17">
        <f>N("Spotify")-IF(AND(DAY($A159)=Budget!$M$5, MONTH($A159)=Budget!$L$5),Budget!$K$5,0)</f>
        <v>0</v>
      </c>
      <c r="T159" s="17">
        <f>N("Amazon Prime")-IF(DAY(A159)=Budget!$Q$3,Budget!$P$3,0)</f>
        <v>0</v>
      </c>
      <c r="U159" s="17">
        <f>N("Audible")-IF(DAY(A159)=Budget!$Q$12,Budget!$P$12,0)</f>
        <v>0</v>
      </c>
      <c r="V159" s="17">
        <f>N("Crunchyroll")-IF(DAY(A159)=Budget!$Q$5,Budget!$P$5,0)</f>
        <v>0</v>
      </c>
      <c r="W159" s="17">
        <f>N("HBO Max")-IF(DAY(A159)=Budget!$Q$6,Budget!$P$6,0)</f>
        <v>0</v>
      </c>
      <c r="X159" s="17">
        <f>N("Netflix")-IF(DAY(A159)=Budget!$Q$7,Budget!$P$7,0)</f>
        <v>0</v>
      </c>
      <c r="Y159" s="17">
        <f>N("Spotify")-IF(DAY(A159)=Budget!$Q$8,Budget!$P$8,0)</f>
        <v>0</v>
      </c>
      <c r="Z159" s="17">
        <f>N("Truebill")-IF(DAY(A159)=Budget!$Q$9,Budget!$P$9,0)</f>
        <v>0</v>
      </c>
      <c r="AA159" s="6">
        <f t="shared" si="16"/>
        <v>0</v>
      </c>
    </row>
    <row r="160" spans="1:27" x14ac:dyDescent="0.3">
      <c r="A160" s="4">
        <f t="shared" si="17"/>
        <v>45800</v>
      </c>
      <c r="B160" s="2">
        <f t="shared" si="18"/>
        <v>3384.3899999999994</v>
      </c>
      <c r="C160" s="7">
        <f t="shared" si="19"/>
        <v>2</v>
      </c>
      <c r="D160" s="1">
        <v>0</v>
      </c>
      <c r="E160" s="17">
        <f>N("PAY-LM")+IF(WEEKDAY(A160)=Budget!$C$3,Budget!$B$3,0)</f>
        <v>1453</v>
      </c>
      <c r="F160" s="17">
        <f>N("Rent")-IF(DAY(A160)=Budget!$G$3,Budget!$F$3,0)</f>
        <v>0</v>
      </c>
      <c r="G160" s="17">
        <f>N("Car")-IF(DAY(A160)=Budget!$G$4,Budget!$F$4+Budget!$H$4,0)</f>
        <v>0</v>
      </c>
      <c r="H160" s="17">
        <f>N("Mom Rent")-IF(DAY(A160)=Budget!$G$5,Budget!$F$5,0)</f>
        <v>0</v>
      </c>
      <c r="I160" s="17">
        <f>N("AT&amp;T")-IF(DAY(A160)=Budget!$G$8,Budget!$F$8,0)</f>
        <v>0</v>
      </c>
      <c r="J160" s="17">
        <f>N("GA Power")-IF(DAY(A160)=Budget!$G$9,Budget!$F$9,0)</f>
        <v>0</v>
      </c>
      <c r="K160" s="17">
        <f>N("Haircut")-IF(DAY(A160)=Budget!$G$10,Budget!$F$10,0)</f>
        <v>0</v>
      </c>
      <c r="L160" s="17">
        <f>N("Groceries")-IF(DAY(A160)=Budget!$G$6,Budget!$F$6,0)</f>
        <v>0</v>
      </c>
      <c r="M160" s="17">
        <f>N("Savings")-IF(DAY(A160)=Budget!$G$7,Budget!$F$7,0)</f>
        <v>0</v>
      </c>
      <c r="N160" s="17">
        <f>N("Car Insurance")-COUNTIF(Budget!$G$14, A160)*Budget!$F$14</f>
        <v>0</v>
      </c>
      <c r="O160" s="17">
        <f>N("Phone Bill")-COUNTIF(Budget!$G$15, A160)*Budget!$F$15</f>
        <v>0</v>
      </c>
      <c r="Q160" s="17">
        <f>N("Spotify")-IF(AND(DAY($A160)=Budget!$M$3, MONTH($A160)=Budget!$L$3),Budget!$K$3,0)</f>
        <v>0</v>
      </c>
      <c r="R160" s="17">
        <f>N("Spotify")-IF(AND(DAY($A160)=Budget!$M$4, MONTH($A160)=Budget!$L$4),Budget!$K$4,0)</f>
        <v>0</v>
      </c>
      <c r="S160" s="17">
        <f>N("Spotify")-IF(AND(DAY($A160)=Budget!$M$5, MONTH($A160)=Budget!$L$5),Budget!$K$5,0)</f>
        <v>0</v>
      </c>
      <c r="T160" s="17">
        <f>N("Amazon Prime")-IF(DAY(A160)=Budget!$Q$3,Budget!$P$3,0)</f>
        <v>0</v>
      </c>
      <c r="U160" s="17">
        <f>N("Audible")-IF(DAY(A160)=Budget!$Q$12,Budget!$P$12,0)</f>
        <v>0</v>
      </c>
      <c r="V160" s="17">
        <f>N("Crunchyroll")-IF(DAY(A160)=Budget!$Q$5,Budget!$P$5,0)</f>
        <v>0</v>
      </c>
      <c r="W160" s="17">
        <f>N("HBO Max")-IF(DAY(A160)=Budget!$Q$6,Budget!$P$6,0)</f>
        <v>0</v>
      </c>
      <c r="X160" s="17">
        <f>N("Netflix")-IF(DAY(A160)=Budget!$Q$7,Budget!$P$7,0)</f>
        <v>0</v>
      </c>
      <c r="Y160" s="17">
        <f>N("Spotify")-IF(DAY(A160)=Budget!$Q$8,Budget!$P$8,0)</f>
        <v>0</v>
      </c>
      <c r="Z160" s="17">
        <f>N("Truebill")-IF(DAY(A160)=Budget!$Q$9,Budget!$P$9,0)</f>
        <v>0</v>
      </c>
      <c r="AA160" s="6">
        <f t="shared" si="16"/>
        <v>1453</v>
      </c>
    </row>
    <row r="161" spans="1:30" x14ac:dyDescent="0.3">
      <c r="A161" s="4">
        <f t="shared" si="17"/>
        <v>45801</v>
      </c>
      <c r="B161" s="2">
        <f t="shared" si="18"/>
        <v>3384.3899999999994</v>
      </c>
      <c r="C161" s="7">
        <f t="shared" si="19"/>
        <v>1</v>
      </c>
      <c r="D161" s="1">
        <v>0</v>
      </c>
      <c r="E161" s="17">
        <f>N("PAY-LM")+IF(WEEKDAY(A161)=Budget!$C$3,Budget!$B$3,0)</f>
        <v>0</v>
      </c>
      <c r="F161" s="17">
        <f>N("Rent")-IF(DAY(A161)=Budget!$G$3,Budget!$F$3,0)</f>
        <v>0</v>
      </c>
      <c r="G161" s="17">
        <f>N("Car")-IF(DAY(A161)=Budget!$G$4,Budget!$F$4+Budget!$H$4,0)</f>
        <v>0</v>
      </c>
      <c r="H161" s="17">
        <f>N("Mom Rent")-IF(DAY(A161)=Budget!$G$5,Budget!$F$5,0)</f>
        <v>0</v>
      </c>
      <c r="I161" s="17">
        <f>N("AT&amp;T")-IF(DAY(A161)=Budget!$G$8,Budget!$F$8,0)</f>
        <v>0</v>
      </c>
      <c r="J161" s="17">
        <f>N("GA Power")-IF(DAY(A161)=Budget!$G$9,Budget!$F$9,0)</f>
        <v>0</v>
      </c>
      <c r="K161" s="17">
        <f>N("Haircut")-IF(DAY(A161)=Budget!$G$10,Budget!$F$10,0)</f>
        <v>0</v>
      </c>
      <c r="L161" s="17">
        <f>N("Groceries")-IF(DAY(A161)=Budget!$G$6,Budget!$F$6,0)</f>
        <v>0</v>
      </c>
      <c r="M161" s="17">
        <f>N("Savings")-IF(DAY(A161)=Budget!$G$7,Budget!$F$7,0)</f>
        <v>0</v>
      </c>
      <c r="N161" s="17">
        <f>N("Car Insurance")-COUNTIF(Budget!$G$14, A161)*Budget!$F$14</f>
        <v>0</v>
      </c>
      <c r="O161" s="17">
        <f>N("Phone Bill")-COUNTIF(Budget!$G$15, A161)*Budget!$F$15</f>
        <v>0</v>
      </c>
      <c r="Q161" s="17">
        <f>N("Spotify")-IF(AND(DAY($A161)=Budget!$M$3, MONTH($A161)=Budget!$L$3),Budget!$K$3,0)</f>
        <v>0</v>
      </c>
      <c r="R161" s="17">
        <f>N("Spotify")-IF(AND(DAY($A161)=Budget!$M$4, MONTH($A161)=Budget!$L$4),Budget!$K$4,0)</f>
        <v>0</v>
      </c>
      <c r="S161" s="17">
        <f>N("Spotify")-IF(AND(DAY($A161)=Budget!$M$5, MONTH($A161)=Budget!$L$5),Budget!$K$5,0)</f>
        <v>0</v>
      </c>
      <c r="T161" s="17">
        <f>N("Amazon Prime")-IF(DAY(A161)=Budget!$Q$3,Budget!$P$3,0)</f>
        <v>0</v>
      </c>
      <c r="U161" s="17">
        <f>N("Audible")-IF(DAY(A161)=Budget!$Q$12,Budget!$P$12,0)</f>
        <v>0</v>
      </c>
      <c r="V161" s="17">
        <f>N("Crunchyroll")-IF(DAY(A161)=Budget!$Q$5,Budget!$P$5,0)</f>
        <v>0</v>
      </c>
      <c r="W161" s="17">
        <f>N("HBO Max")-IF(DAY(A161)=Budget!$Q$6,Budget!$P$6,0)</f>
        <v>0</v>
      </c>
      <c r="X161" s="17">
        <f>N("Netflix")-IF(DAY(A161)=Budget!$Q$7,Budget!$P$7,0)</f>
        <v>0</v>
      </c>
      <c r="Y161" s="17">
        <f>N("Spotify")-IF(DAY(A161)=Budget!$Q$8,Budget!$P$8,0)</f>
        <v>0</v>
      </c>
      <c r="Z161" s="17">
        <f>N("Truebill")-IF(DAY(A161)=Budget!$Q$9,Budget!$P$9,0)</f>
        <v>0</v>
      </c>
      <c r="AA161" s="6">
        <f t="shared" si="16"/>
        <v>0</v>
      </c>
    </row>
    <row r="162" spans="1:30" x14ac:dyDescent="0.3">
      <c r="A162" s="4">
        <f t="shared" si="17"/>
        <v>45802</v>
      </c>
      <c r="B162" s="2">
        <f t="shared" si="18"/>
        <v>3384.3899999999994</v>
      </c>
      <c r="C162" s="7">
        <f t="shared" si="19"/>
        <v>1</v>
      </c>
      <c r="D162" s="1">
        <v>0</v>
      </c>
      <c r="E162" s="17">
        <f>N("PAY-LM")+IF(WEEKDAY(A162)=Budget!$C$3,Budget!$B$3,0)</f>
        <v>0</v>
      </c>
      <c r="F162" s="17">
        <f>N("Rent")-IF(DAY(A162)=Budget!$G$3,Budget!$F$3,0)</f>
        <v>0</v>
      </c>
      <c r="G162" s="17">
        <f>N("Car")-IF(DAY(A162)=Budget!$G$4,Budget!$F$4+Budget!$H$4,0)</f>
        <v>0</v>
      </c>
      <c r="H162" s="17">
        <f>N("Mom Rent")-IF(DAY(A162)=Budget!$G$5,Budget!$F$5,0)</f>
        <v>0</v>
      </c>
      <c r="I162" s="17">
        <f>N("AT&amp;T")-IF(DAY(A162)=Budget!$G$8,Budget!$F$8,0)</f>
        <v>0</v>
      </c>
      <c r="J162" s="17">
        <f>N("GA Power")-IF(DAY(A162)=Budget!$G$9,Budget!$F$9,0)</f>
        <v>0</v>
      </c>
      <c r="K162" s="17">
        <f>N("Haircut")-IF(DAY(A162)=Budget!$G$10,Budget!$F$10,0)</f>
        <v>0</v>
      </c>
      <c r="L162" s="17">
        <f>N("Groceries")-IF(DAY(A162)=Budget!$G$6,Budget!$F$6,0)</f>
        <v>0</v>
      </c>
      <c r="M162" s="17">
        <f>N("Savings")-IF(DAY(A162)=Budget!$G$7,Budget!$F$7,0)</f>
        <v>0</v>
      </c>
      <c r="N162" s="17">
        <f>N("Car Insurance")-COUNTIF(Budget!$G$14, A162)*Budget!$F$14</f>
        <v>0</v>
      </c>
      <c r="O162" s="17">
        <f>N("Phone Bill")-COUNTIF(Budget!$G$15, A162)*Budget!$F$15</f>
        <v>0</v>
      </c>
      <c r="Q162" s="17">
        <f>N("Spotify")-IF(AND(DAY($A162)=Budget!$M$3, MONTH($A162)=Budget!$L$3),Budget!$K$3,0)</f>
        <v>0</v>
      </c>
      <c r="R162" s="17">
        <f>N("Spotify")-IF(AND(DAY($A162)=Budget!$M$4, MONTH($A162)=Budget!$L$4),Budget!$K$4,0)</f>
        <v>0</v>
      </c>
      <c r="S162" s="17">
        <f>N("Spotify")-IF(AND(DAY($A162)=Budget!$M$5, MONTH($A162)=Budget!$L$5),Budget!$K$5,0)</f>
        <v>0</v>
      </c>
      <c r="T162" s="17">
        <f>N("Amazon Prime")-IF(DAY(A162)=Budget!$Q$3,Budget!$P$3,0)</f>
        <v>0</v>
      </c>
      <c r="U162" s="17">
        <f>N("Audible")-IF(DAY(A162)=Budget!$Q$12,Budget!$P$12,0)</f>
        <v>0</v>
      </c>
      <c r="V162" s="17">
        <f>N("Crunchyroll")-IF(DAY(A162)=Budget!$Q$5,Budget!$P$5,0)</f>
        <v>0</v>
      </c>
      <c r="W162" s="17">
        <f>N("HBO Max")-IF(DAY(A162)=Budget!$Q$6,Budget!$P$6,0)</f>
        <v>0</v>
      </c>
      <c r="X162" s="17">
        <f>N("Netflix")-IF(DAY(A162)=Budget!$Q$7,Budget!$P$7,0)</f>
        <v>0</v>
      </c>
      <c r="Y162" s="17">
        <f>N("Spotify")-IF(DAY(A162)=Budget!$Q$8,Budget!$P$8,0)</f>
        <v>0</v>
      </c>
      <c r="Z162" s="17">
        <f>N("Truebill")-IF(DAY(A162)=Budget!$Q$9,Budget!$P$9,0)</f>
        <v>0</v>
      </c>
      <c r="AA162" s="6">
        <f t="shared" si="16"/>
        <v>0</v>
      </c>
    </row>
    <row r="163" spans="1:30" x14ac:dyDescent="0.3">
      <c r="A163" s="4">
        <f t="shared" si="17"/>
        <v>45803</v>
      </c>
      <c r="B163" s="2">
        <f t="shared" si="18"/>
        <v>2984.3899999999994</v>
      </c>
      <c r="C163" s="7">
        <f t="shared" si="19"/>
        <v>0</v>
      </c>
      <c r="D163" s="1">
        <v>0</v>
      </c>
      <c r="E163" s="17">
        <f>N("PAY-LM")+IF(WEEKDAY(A163)=Budget!$C$3,Budget!$B$3,0)</f>
        <v>0</v>
      </c>
      <c r="F163" s="17">
        <f>N("Rent")-IF(DAY(A163)=Budget!$G$3,Budget!$F$3,0)</f>
        <v>0</v>
      </c>
      <c r="G163" s="17">
        <f>N("Car")-IF(DAY(A163)=Budget!$G$4,Budget!$F$4+Budget!$H$4,0)</f>
        <v>0</v>
      </c>
      <c r="H163" s="17">
        <f>N("Mom Rent")-IF(DAY(A163)=Budget!$G$5,Budget!$F$5,0)</f>
        <v>0</v>
      </c>
      <c r="I163" s="17">
        <f>N("AT&amp;T")-IF(DAY(A163)=Budget!$G$8,Budget!$F$8,0)</f>
        <v>0</v>
      </c>
      <c r="J163" s="17">
        <f>N("GA Power")-IF(DAY(A163)=Budget!$G$9,Budget!$F$9,0)</f>
        <v>0</v>
      </c>
      <c r="K163" s="17">
        <f>N("Haircut")-IF(DAY(A163)=Budget!$G$10,Budget!$F$10,0)</f>
        <v>-400</v>
      </c>
      <c r="L163" s="17">
        <f>N("Groceries")-IF(DAY(A163)=Budget!$G$6,Budget!$F$6,0)</f>
        <v>0</v>
      </c>
      <c r="M163" s="17">
        <f>N("Savings")-IF(DAY(A163)=Budget!$G$7,Budget!$F$7,0)</f>
        <v>0</v>
      </c>
      <c r="N163" s="17">
        <f>N("Car Insurance")-COUNTIF(Budget!$G$14, A163)*Budget!$F$14</f>
        <v>0</v>
      </c>
      <c r="O163" s="17">
        <f>N("Phone Bill")-COUNTIF(Budget!$G$15, A163)*Budget!$F$15</f>
        <v>0</v>
      </c>
      <c r="Q163" s="17">
        <f>N("Spotify")-IF(AND(DAY($A163)=Budget!$M$3, MONTH($A163)=Budget!$L$3),Budget!$K$3,0)</f>
        <v>0</v>
      </c>
      <c r="R163" s="17">
        <f>N("Spotify")-IF(AND(DAY($A163)=Budget!$M$4, MONTH($A163)=Budget!$L$4),Budget!$K$4,0)</f>
        <v>0</v>
      </c>
      <c r="S163" s="17">
        <f>N("Spotify")-IF(AND(DAY($A163)=Budget!$M$5, MONTH($A163)=Budget!$L$5),Budget!$K$5,0)</f>
        <v>0</v>
      </c>
      <c r="T163" s="17">
        <f>N("Amazon Prime")-IF(DAY(A163)=Budget!$Q$3,Budget!$P$3,0)</f>
        <v>0</v>
      </c>
      <c r="U163" s="17">
        <f>N("Audible")-IF(DAY(A163)=Budget!$Q$12,Budget!$P$12,0)</f>
        <v>0</v>
      </c>
      <c r="V163" s="17">
        <f>N("Crunchyroll")-IF(DAY(A163)=Budget!$Q$5,Budget!$P$5,0)</f>
        <v>0</v>
      </c>
      <c r="W163" s="17">
        <f>N("HBO Max")-IF(DAY(A163)=Budget!$Q$6,Budget!$P$6,0)</f>
        <v>0</v>
      </c>
      <c r="X163" s="17">
        <f>N("Netflix")-IF(DAY(A163)=Budget!$Q$7,Budget!$P$7,0)</f>
        <v>0</v>
      </c>
      <c r="Y163" s="17">
        <f>N("Spotify")-IF(DAY(A163)=Budget!$Q$8,Budget!$P$8,0)</f>
        <v>0</v>
      </c>
      <c r="Z163" s="17">
        <f>N("Truebill")-IF(DAY(A163)=Budget!$Q$9,Budget!$P$9,0)</f>
        <v>0</v>
      </c>
      <c r="AA163" s="6">
        <f t="shared" si="16"/>
        <v>-400</v>
      </c>
    </row>
    <row r="164" spans="1:30" x14ac:dyDescent="0.3">
      <c r="A164" s="4">
        <f t="shared" si="17"/>
        <v>45804</v>
      </c>
      <c r="B164" s="2">
        <f t="shared" si="18"/>
        <v>2984.3899999999994</v>
      </c>
      <c r="C164" s="7">
        <f t="shared" si="19"/>
        <v>1</v>
      </c>
      <c r="D164" s="1">
        <v>0</v>
      </c>
      <c r="E164" s="17">
        <f>N("PAY-LM")+IF(WEEKDAY(A164)=Budget!$C$3,Budget!$B$3,0)</f>
        <v>0</v>
      </c>
      <c r="F164" s="17">
        <f>N("Rent")-IF(DAY(A164)=Budget!$G$3,Budget!$F$3,0)</f>
        <v>0</v>
      </c>
      <c r="G164" s="17">
        <f>N("Car")-IF(DAY(A164)=Budget!$G$4,Budget!$F$4+Budget!$H$4,0)</f>
        <v>0</v>
      </c>
      <c r="H164" s="17">
        <f>N("Mom Rent")-IF(DAY(A164)=Budget!$G$5,Budget!$F$5,0)</f>
        <v>0</v>
      </c>
      <c r="I164" s="17">
        <f>N("AT&amp;T")-IF(DAY(A164)=Budget!$G$8,Budget!$F$8,0)</f>
        <v>0</v>
      </c>
      <c r="J164" s="17">
        <f>N("GA Power")-IF(DAY(A164)=Budget!$G$9,Budget!$F$9,0)</f>
        <v>0</v>
      </c>
      <c r="K164" s="17">
        <f>N("Haircut")-IF(DAY(A164)=Budget!$G$10,Budget!$F$10,0)</f>
        <v>0</v>
      </c>
      <c r="L164" s="17">
        <f>N("Groceries")-IF(DAY(A164)=Budget!$G$6,Budget!$F$6,0)</f>
        <v>0</v>
      </c>
      <c r="M164" s="17">
        <f>N("Savings")-IF(DAY(A164)=Budget!$G$7,Budget!$F$7,0)</f>
        <v>0</v>
      </c>
      <c r="N164" s="17">
        <f>N("Car Insurance")-COUNTIF(Budget!$G$14, A164)*Budget!$F$14</f>
        <v>0</v>
      </c>
      <c r="O164" s="17">
        <f>N("Phone Bill")-COUNTIF(Budget!$G$15, A164)*Budget!$F$15</f>
        <v>0</v>
      </c>
      <c r="Q164" s="17">
        <f>N("Spotify")-IF(AND(DAY($A164)=Budget!$M$3, MONTH($A164)=Budget!$L$3),Budget!$K$3,0)</f>
        <v>0</v>
      </c>
      <c r="R164" s="17">
        <f>N("Spotify")-IF(AND(DAY($A164)=Budget!$M$4, MONTH($A164)=Budget!$L$4),Budget!$K$4,0)</f>
        <v>0</v>
      </c>
      <c r="S164" s="17">
        <f>N("Spotify")-IF(AND(DAY($A164)=Budget!$M$5, MONTH($A164)=Budget!$L$5),Budget!$K$5,0)</f>
        <v>0</v>
      </c>
      <c r="T164" s="17">
        <f>N("Amazon Prime")-IF(DAY(A164)=Budget!$Q$3,Budget!$P$3,0)</f>
        <v>0</v>
      </c>
      <c r="U164" s="17">
        <f>N("Audible")-IF(DAY(A164)=Budget!$Q$12,Budget!$P$12,0)</f>
        <v>0</v>
      </c>
      <c r="V164" s="17">
        <f>N("Crunchyroll")-IF(DAY(A164)=Budget!$Q$5,Budget!$P$5,0)</f>
        <v>0</v>
      </c>
      <c r="W164" s="17">
        <f>N("HBO Max")-IF(DAY(A164)=Budget!$Q$6,Budget!$P$6,0)</f>
        <v>0</v>
      </c>
      <c r="X164" s="17">
        <f>N("Netflix")-IF(DAY(A164)=Budget!$Q$7,Budget!$P$7,0)</f>
        <v>0</v>
      </c>
      <c r="Y164" s="17">
        <f>N("Spotify")-IF(DAY(A164)=Budget!$Q$8,Budget!$P$8,0)</f>
        <v>0</v>
      </c>
      <c r="Z164" s="17">
        <f>N("Truebill")-IF(DAY(A164)=Budget!$Q$9,Budget!$P$9,0)</f>
        <v>0</v>
      </c>
      <c r="AA164" s="6">
        <f t="shared" si="16"/>
        <v>0</v>
      </c>
    </row>
    <row r="165" spans="1:30" x14ac:dyDescent="0.3">
      <c r="A165" s="4">
        <f t="shared" si="17"/>
        <v>45805</v>
      </c>
      <c r="B165" s="2">
        <f t="shared" si="18"/>
        <v>1834.3899999999994</v>
      </c>
      <c r="C165" s="7">
        <f t="shared" si="19"/>
        <v>0</v>
      </c>
      <c r="D165" s="1">
        <v>0</v>
      </c>
      <c r="E165" s="17">
        <f>N("PAY-LM")+IF(WEEKDAY(A165)=Budget!$C$3,Budget!$B$3,0)</f>
        <v>0</v>
      </c>
      <c r="F165" s="17">
        <f>N("Rent")-IF(DAY(A165)=Budget!$G$3,Budget!$F$3,0)</f>
        <v>0</v>
      </c>
      <c r="G165" s="17">
        <f>N("Car")-IF(DAY(A165)=Budget!$G$4,Budget!$F$4+Budget!$H$4,0)</f>
        <v>0</v>
      </c>
      <c r="H165" s="17">
        <f>N("Mom Rent")-IF(DAY(A165)=Budget!$G$5,Budget!$F$5,0)</f>
        <v>0</v>
      </c>
      <c r="I165" s="17">
        <f>N("AT&amp;T")-IF(DAY(A165)=Budget!$G$8,Budget!$F$8,0)</f>
        <v>0</v>
      </c>
      <c r="J165" s="17">
        <f>N("GA Power")-IF(DAY(A165)=Budget!$G$9,Budget!$F$9,0)</f>
        <v>0</v>
      </c>
      <c r="K165" s="17">
        <f>N("Haircut")-IF(DAY(A165)=Budget!$G$10,Budget!$F$10,0)</f>
        <v>0</v>
      </c>
      <c r="L165" s="17">
        <f>N("Groceries")-IF(DAY(A165)=Budget!$G$6,Budget!$F$6,0)</f>
        <v>0</v>
      </c>
      <c r="M165" s="17">
        <f>N("Savings")-IF(DAY(A165)=Budget!$G$7,Budget!$F$7,0)</f>
        <v>-1000</v>
      </c>
      <c r="N165" s="17">
        <f>N("Car Insurance")-COUNTIF(Budget!$G$14, A165)*Budget!$F$14</f>
        <v>0</v>
      </c>
      <c r="O165" s="17">
        <f>N("Phone Bill")-COUNTIF(Budget!$G$15, A165)*Budget!$F$15</f>
        <v>0</v>
      </c>
      <c r="Q165" s="17">
        <f>N("Spotify")-IF(AND(DAY($A165)=Budget!$M$3, MONTH($A165)=Budget!$L$3),Budget!$K$3,0)</f>
        <v>0</v>
      </c>
      <c r="R165" s="17">
        <f>N("Spotify")-IF(AND(DAY($A165)=Budget!$M$4, MONTH($A165)=Budget!$L$4),Budget!$K$4,0)</f>
        <v>0</v>
      </c>
      <c r="S165" s="17">
        <f>N("Spotify")-IF(AND(DAY($A165)=Budget!$M$5, MONTH($A165)=Budget!$L$5),Budget!$K$5,0)</f>
        <v>0</v>
      </c>
      <c r="T165" s="17">
        <f>N("Amazon Prime")-IF(DAY(A165)=Budget!$Q$3,Budget!$P$3,0)</f>
        <v>0</v>
      </c>
      <c r="U165" s="17">
        <f>N("Audible")-IF(DAY(A165)=Budget!$Q$12,Budget!$P$12,0)</f>
        <v>0</v>
      </c>
      <c r="V165" s="17">
        <f>N("Crunchyroll")-IF(DAY(A165)=Budget!$Q$5,Budget!$P$5,0)</f>
        <v>0</v>
      </c>
      <c r="W165" s="17">
        <f>N("HBO Max")-IF(DAY(A165)=Budget!$Q$6,Budget!$P$6,0)</f>
        <v>0</v>
      </c>
      <c r="X165" s="17">
        <f>N("Netflix")-IF(DAY(A165)=Budget!$Q$7,Budget!$P$7,0)</f>
        <v>0</v>
      </c>
      <c r="Y165" s="17">
        <f>N("Spotify")-IF(DAY(A165)=Budget!$Q$8,Budget!$P$8,0)</f>
        <v>-150</v>
      </c>
      <c r="Z165" s="17">
        <f>N("Truebill")-IF(DAY(A165)=Budget!$Q$9,Budget!$P$9,0)</f>
        <v>0</v>
      </c>
      <c r="AA165" s="6">
        <f t="shared" si="16"/>
        <v>-1150</v>
      </c>
    </row>
    <row r="166" spans="1:30" x14ac:dyDescent="0.3">
      <c r="A166" s="4">
        <f t="shared" si="17"/>
        <v>45806</v>
      </c>
      <c r="B166" s="2">
        <f t="shared" si="18"/>
        <v>1809.7899999999995</v>
      </c>
      <c r="C166" s="7">
        <f>IF(B166&gt;B165,2,IF(B166=B165, 1,0))</f>
        <v>0</v>
      </c>
      <c r="D166" s="1">
        <v>0</v>
      </c>
      <c r="E166" s="17">
        <f>N("PAY-LM")+IF(WEEKDAY(A166)=Budget!$C$3,Budget!$B$3,0)</f>
        <v>0</v>
      </c>
      <c r="F166" s="17">
        <f>N("Rent")-IF(DAY(A166)=Budget!$G$3,Budget!$F$3,0)</f>
        <v>0</v>
      </c>
      <c r="G166" s="17">
        <f>N("Car")-IF(DAY(A166)=Budget!$G$4,Budget!$F$4+Budget!$H$4,0)</f>
        <v>0</v>
      </c>
      <c r="H166" s="17">
        <f>N("Mom Rent")-IF(DAY(A166)=Budget!$G$5,Budget!$F$5,0)</f>
        <v>0</v>
      </c>
      <c r="I166" s="17">
        <f>N("AT&amp;T")-IF(DAY(A166)=Budget!$G$8,Budget!$F$8,0)</f>
        <v>0</v>
      </c>
      <c r="J166" s="17">
        <f>N("GA Power")-IF(DAY(A166)=Budget!$G$9,Budget!$F$9,0)</f>
        <v>0</v>
      </c>
      <c r="K166" s="17">
        <f>N("Haircut")-IF(DAY(A166)=Budget!$G$10,Budget!$F$10,0)</f>
        <v>0</v>
      </c>
      <c r="L166" s="17">
        <f>N("Groceries")-IF(DAY(A166)=Budget!$G$6,Budget!$F$6,0)</f>
        <v>0</v>
      </c>
      <c r="M166" s="17">
        <f>N("Savings")-IF(DAY(A166)=Budget!$G$7,Budget!$F$7,0)</f>
        <v>0</v>
      </c>
      <c r="N166" s="17">
        <f>N("Car Insurance")-COUNTIF(Budget!$G$14, A166)*Budget!$F$14</f>
        <v>0</v>
      </c>
      <c r="O166" s="17">
        <f>N("Phone Bill")-COUNTIF(Budget!$G$15, A166)*Budget!$F$15</f>
        <v>0</v>
      </c>
      <c r="Q166" s="17">
        <f>N("Spotify")-IF(AND(DAY($A166)=Budget!$M$3, MONTH($A166)=Budget!$L$3),Budget!$K$3,0)</f>
        <v>0</v>
      </c>
      <c r="R166" s="17">
        <f>N("Spotify")-IF(AND(DAY($A166)=Budget!$M$4, MONTH($A166)=Budget!$L$4),Budget!$K$4,0)</f>
        <v>0</v>
      </c>
      <c r="S166" s="17">
        <f>N("Spotify")-IF(AND(DAY($A166)=Budget!$M$5, MONTH($A166)=Budget!$L$5),Budget!$K$5,0)</f>
        <v>0</v>
      </c>
      <c r="T166" s="17">
        <f>N("Amazon Prime")-IF(DAY(A166)=Budget!$Q$3,Budget!$P$3,0)</f>
        <v>0</v>
      </c>
      <c r="U166" s="17">
        <f>N("Audible")-IF(DAY(A166)=Budget!$Q$12,Budget!$P$12,0)</f>
        <v>0</v>
      </c>
      <c r="V166" s="17">
        <f>N("Crunchyroll")-IF(DAY(A166)=Budget!$Q$5,Budget!$P$5,0)</f>
        <v>-24.6</v>
      </c>
      <c r="W166" s="17">
        <f>N("HBO Max")-IF(DAY(A166)=Budget!$Q$6,Budget!$P$6,0)</f>
        <v>0</v>
      </c>
      <c r="X166" s="17">
        <f>N("Netflix")-IF(DAY(A166)=Budget!$Q$7,Budget!$P$7,0)</f>
        <v>0</v>
      </c>
      <c r="Y166" s="17">
        <f>N("Spotify")-IF(DAY(A166)=Budget!$Q$8,Budget!$P$8,0)</f>
        <v>0</v>
      </c>
      <c r="Z166" s="17">
        <f>N("Truebill")-IF(DAY(A166)=Budget!$Q$9,Budget!$P$9,0)</f>
        <v>0</v>
      </c>
      <c r="AA166" s="6">
        <f t="shared" si="16"/>
        <v>-24.6</v>
      </c>
    </row>
    <row r="167" spans="1:30" x14ac:dyDescent="0.3">
      <c r="A167" s="4">
        <f t="shared" si="17"/>
        <v>45807</v>
      </c>
      <c r="B167" s="2">
        <f t="shared" si="18"/>
        <v>3262.7899999999995</v>
      </c>
      <c r="C167" s="7">
        <f>IF(B167&gt;B166,2,IF(B167=B166, 1,0))</f>
        <v>2</v>
      </c>
      <c r="D167" s="1">
        <v>0</v>
      </c>
      <c r="E167" s="17">
        <f>N("PAY-LM")+IF(WEEKDAY(A167)=Budget!$C$3,Budget!$B$3,0)</f>
        <v>1453</v>
      </c>
      <c r="F167" s="17">
        <f>N("Rent")-IF(DAY(A167)=Budget!$G$3,Budget!$F$3,0)</f>
        <v>0</v>
      </c>
      <c r="G167" s="17">
        <f>N("Car")-IF(DAY(A167)=Budget!$G$4,Budget!$F$4+Budget!$H$4,0)</f>
        <v>0</v>
      </c>
      <c r="H167" s="17">
        <f>N("Mom Rent")-IF(DAY(A167)=Budget!$G$5,Budget!$F$5,0)</f>
        <v>0</v>
      </c>
      <c r="I167" s="17">
        <f>N("AT&amp;T")-IF(DAY(A167)=Budget!$G$8,Budget!$F$8,0)</f>
        <v>0</v>
      </c>
      <c r="J167" s="17">
        <f>N("GA Power")-IF(DAY(A167)=Budget!$G$9,Budget!$F$9,0)</f>
        <v>0</v>
      </c>
      <c r="K167" s="17">
        <f>N("Haircut")-IF(DAY(A167)=Budget!$G$10,Budget!$F$10,0)</f>
        <v>0</v>
      </c>
      <c r="L167" s="17">
        <f>N("Groceries")-IF(DAY(A167)=Budget!$G$6,Budget!$F$6,0)</f>
        <v>0</v>
      </c>
      <c r="M167" s="17">
        <f>N("Savings")-IF(DAY(A167)=Budget!$G$7,Budget!$F$7,0)</f>
        <v>0</v>
      </c>
      <c r="N167" s="17">
        <f>N("Car Insurance")-COUNTIF(Budget!$G$14, A167)*Budget!$F$14</f>
        <v>0</v>
      </c>
      <c r="O167" s="17">
        <f>N("Phone Bill")-COUNTIF(Budget!$G$15, A167)*Budget!$F$15</f>
        <v>0</v>
      </c>
      <c r="Q167" s="17">
        <f>N("Spotify")-IF(AND(DAY($A167)=Budget!$M$3, MONTH($A167)=Budget!$L$3),Budget!$K$3,0)</f>
        <v>0</v>
      </c>
      <c r="R167" s="17">
        <f>N("Spotify")-IF(AND(DAY($A167)=Budget!$M$4, MONTH($A167)=Budget!$L$4),Budget!$K$4,0)</f>
        <v>0</v>
      </c>
      <c r="S167" s="17">
        <f>N("Spotify")-IF(AND(DAY($A167)=Budget!$M$5, MONTH($A167)=Budget!$L$5),Budget!$K$5,0)</f>
        <v>0</v>
      </c>
      <c r="T167" s="17">
        <f>N("Amazon Prime")-IF(DAY(A167)=Budget!$Q$3,Budget!$P$3,0)</f>
        <v>0</v>
      </c>
      <c r="U167" s="17">
        <f>N("Audible")-IF(DAY(A167)=Budget!$Q$12,Budget!$P$12,0)</f>
        <v>0</v>
      </c>
      <c r="V167" s="17">
        <f>N("Crunchyroll")-IF(DAY(A167)=Budget!$Q$5,Budget!$P$5,0)</f>
        <v>0</v>
      </c>
      <c r="W167" s="17">
        <f>N("HBO Max")-IF(DAY(A167)=Budget!$Q$6,Budget!$P$6,0)</f>
        <v>0</v>
      </c>
      <c r="X167" s="17">
        <f>N("Netflix")-IF(DAY(A167)=Budget!$Q$7,Budget!$P$7,0)</f>
        <v>0</v>
      </c>
      <c r="Y167" s="17">
        <f>N("Spotify")-IF(DAY(A167)=Budget!$Q$8,Budget!$P$8,0)</f>
        <v>0</v>
      </c>
      <c r="Z167" s="17">
        <f>N("Truebill")-IF(DAY(A167)=Budget!$Q$9,Budget!$P$9,0)</f>
        <v>0</v>
      </c>
      <c r="AA167" s="6">
        <f t="shared" si="16"/>
        <v>1453</v>
      </c>
    </row>
    <row r="168" spans="1:30" x14ac:dyDescent="0.3">
      <c r="A168" s="4">
        <f t="shared" si="17"/>
        <v>45808</v>
      </c>
      <c r="B168" s="2">
        <f>3210.99</f>
        <v>3210.99</v>
      </c>
      <c r="C168" s="7">
        <f>IF(B168&gt;B167,2,IF(B168=B167, 1,0))</f>
        <v>0</v>
      </c>
      <c r="D168" s="1">
        <v>0</v>
      </c>
      <c r="E168" s="17">
        <f>N("PAY-LM")+IF(WEEKDAY(A168)=Budget!$C$3,Budget!$B$3,0)</f>
        <v>0</v>
      </c>
      <c r="F168" s="17">
        <f>N("Rent")-IF(DAY(A168)=Budget!$G$3,Budget!$F$3,0)</f>
        <v>0</v>
      </c>
      <c r="G168" s="17">
        <f>N("Car")-IF(DAY(A168)=Budget!$G$4,Budget!$F$4+Budget!$H$4,0)</f>
        <v>0</v>
      </c>
      <c r="H168" s="17">
        <f>N("Mom Rent")-IF(DAY(A168)=Budget!$G$5,Budget!$F$5,0)</f>
        <v>0</v>
      </c>
      <c r="I168" s="17">
        <f>N("AT&amp;T")-IF(DAY(A168)=Budget!$G$8,Budget!$F$8,0)</f>
        <v>0</v>
      </c>
      <c r="J168" s="17">
        <f>N("GA Power")-IF(DAY(A168)=Budget!$G$9,Budget!$F$9,0)</f>
        <v>0</v>
      </c>
      <c r="K168" s="17">
        <f>N("Haircut")-IF(DAY(A168)=Budget!$G$10,Budget!$F$10,0)</f>
        <v>0</v>
      </c>
      <c r="L168" s="17">
        <f>N("Groceries")-IF(DAY(A168)=Budget!$G$6,Budget!$F$6,0)</f>
        <v>0</v>
      </c>
      <c r="M168" s="17">
        <f>N("Savings")-IF(DAY(A168)=Budget!$G$7,Budget!$F$7,0)</f>
        <v>0</v>
      </c>
      <c r="N168" s="17">
        <f>N("Car Insurance")-COUNTIF(Budget!$G$14, A168)*Budget!$F$14</f>
        <v>0</v>
      </c>
      <c r="O168" s="17">
        <f>N("Phone Bill")-COUNTIF(Budget!$G$15, A168)*Budget!$F$15</f>
        <v>0</v>
      </c>
      <c r="Q168" s="17">
        <f>N("Spotify")-IF(AND(DAY($A168)=Budget!$M$3, MONTH($A168)=Budget!$L$3),Budget!$K$3,0)</f>
        <v>0</v>
      </c>
      <c r="R168" s="17">
        <f>N("Spotify")-IF(AND(DAY($A168)=Budget!$M$4, MONTH($A168)=Budget!$L$4),Budget!$K$4,0)</f>
        <v>0</v>
      </c>
      <c r="S168" s="17">
        <f>N("Spotify")-IF(AND(DAY($A168)=Budget!$M$5, MONTH($A168)=Budget!$L$5),Budget!$K$5,0)</f>
        <v>0</v>
      </c>
      <c r="T168" s="17">
        <f>N("Amazon Prime")-IF(DAY(A168)=Budget!$Q$3,Budget!$P$3,0)</f>
        <v>0</v>
      </c>
      <c r="U168" s="17">
        <f>N("Audible")-IF(DAY(A168)=Budget!$Q$12,Budget!$P$12,0)</f>
        <v>0</v>
      </c>
      <c r="V168" s="17">
        <f>N("Crunchyroll")-IF(DAY(A168)=Budget!$Q$5,Budget!$P$5,0)</f>
        <v>0</v>
      </c>
      <c r="W168" s="17">
        <f>N("HBO Max")-IF(DAY(A168)=Budget!$Q$6,Budget!$P$6,0)</f>
        <v>0</v>
      </c>
      <c r="X168" s="17">
        <f>N("Netflix")-IF(DAY(A168)=Budget!$Q$7,Budget!$P$7,0)</f>
        <v>0</v>
      </c>
      <c r="Y168" s="17">
        <f>N("Spotify")-IF(DAY(A168)=Budget!$Q$8,Budget!$P$8,0)</f>
        <v>0</v>
      </c>
      <c r="Z168" s="17">
        <f>N("Truebill")-IF(DAY(A168)=Budget!$Q$9,Budget!$P$9,0)</f>
        <v>0</v>
      </c>
      <c r="AA168" s="6">
        <f t="shared" si="16"/>
        <v>0</v>
      </c>
    </row>
    <row r="171" spans="1:30" x14ac:dyDescent="0.3">
      <c r="D171" s="40" t="s">
        <v>17</v>
      </c>
      <c r="E171" s="41" t="s">
        <v>15</v>
      </c>
      <c r="F171" s="41"/>
      <c r="G171" s="41"/>
      <c r="H171" s="41"/>
      <c r="I171" s="41"/>
      <c r="J171" s="41"/>
      <c r="K171" s="41"/>
      <c r="L171" s="41"/>
      <c r="M171" s="41"/>
      <c r="N171" s="42" t="str">
        <f>Budget!$E$12</f>
        <v>Annual Expenses</v>
      </c>
      <c r="O171" s="42"/>
      <c r="Q171" s="43" t="s">
        <v>36</v>
      </c>
      <c r="R171" s="43"/>
      <c r="S171" s="43"/>
      <c r="T171" s="41" t="s">
        <v>8</v>
      </c>
      <c r="U171" s="41"/>
      <c r="V171" s="41"/>
      <c r="W171" s="41"/>
      <c r="X171" s="41"/>
      <c r="Y171" s="41"/>
      <c r="Z171" s="41"/>
      <c r="AA171" s="10" t="s">
        <v>16</v>
      </c>
      <c r="AC171" s="6">
        <f>SUMIF(D173:Z202,"&lt;0")</f>
        <v>-5263.4</v>
      </c>
      <c r="AD171" s="6">
        <f>SUM(E173:E202)</f>
        <v>5812</v>
      </c>
    </row>
    <row r="172" spans="1:30" x14ac:dyDescent="0.3">
      <c r="A172" s="39">
        <f>EDATE(A137,1)</f>
        <v>45809</v>
      </c>
      <c r="B172" s="39"/>
      <c r="D172" s="40"/>
      <c r="E172" s="18" t="str">
        <f>Budget!$A$3</f>
        <v>PAY-LM</v>
      </c>
      <c r="F172" t="str">
        <f>Budget!$E$3</f>
        <v>Rent</v>
      </c>
      <c r="G172" t="str">
        <f>Budget!$E$4</f>
        <v>Car</v>
      </c>
      <c r="H172" t="str">
        <f>Budget!$E$5</f>
        <v>Mom Rent</v>
      </c>
      <c r="I172" t="str">
        <f>Budget!$E$8</f>
        <v>AT&amp;T</v>
      </c>
      <c r="J172" t="str">
        <f>Budget!$E$9</f>
        <v>GA Power</v>
      </c>
      <c r="K172" t="str">
        <f>Budget!$E$10</f>
        <v>TH</v>
      </c>
      <c r="L172" t="str">
        <f>Budget!$E$6</f>
        <v>Groceries</v>
      </c>
      <c r="M172" s="16" t="str">
        <f>Budget!$E$7</f>
        <v>Savings</v>
      </c>
      <c r="N172" t="str">
        <f>Budget!$E$14</f>
        <v>Car Insurance</v>
      </c>
      <c r="O172" t="str">
        <f>Budget!$E$15</f>
        <v>Phone Bill</v>
      </c>
      <c r="Q172" t="str">
        <f>Budget!$J$3</f>
        <v>Capital One</v>
      </c>
      <c r="R172" t="str">
        <f>Budget!$J$4</f>
        <v>Chase</v>
      </c>
      <c r="S172" t="str">
        <f>Budget!$J$5</f>
        <v>NFCU</v>
      </c>
      <c r="T172" t="str">
        <f>Budget!$O$3</f>
        <v>Amazon Prime</v>
      </c>
      <c r="U172" t="str">
        <f>Budget!$O$12</f>
        <v>Audible</v>
      </c>
      <c r="V172" t="str">
        <f>Budget!$O$5</f>
        <v>Netflix</v>
      </c>
      <c r="W172" t="str">
        <f>Budget!$O$6</f>
        <v>Spotify</v>
      </c>
      <c r="X172" t="str">
        <f>Budget!$O$7</f>
        <v>Rocket Money</v>
      </c>
      <c r="Y172" t="str">
        <f>Budget!$O$8</f>
        <v>Little4Much</v>
      </c>
      <c r="Z172" t="str">
        <f>Budget!$O$9</f>
        <v>None</v>
      </c>
      <c r="AA172" s="10"/>
      <c r="AC172" s="3">
        <f>AD171+AC171</f>
        <v>548.60000000000036</v>
      </c>
    </row>
    <row r="173" spans="1:30" x14ac:dyDescent="0.3">
      <c r="A173" s="4">
        <f>A172</f>
        <v>45809</v>
      </c>
      <c r="B173" s="2">
        <f>B168+AA173</f>
        <v>1932.0099999999998</v>
      </c>
      <c r="C173" s="7">
        <f>IF(B173&gt;B168,2,IF(B173=B168, 1,0))</f>
        <v>0</v>
      </c>
      <c r="D173" s="1">
        <v>-125</v>
      </c>
      <c r="E173" s="17">
        <f>N("PAY-LM")+IF(WEEKDAY(A173)=Budget!$C$3,Budget!$B$3,0)</f>
        <v>0</v>
      </c>
      <c r="F173" s="17">
        <f>-1153.98</f>
        <v>-1153.98</v>
      </c>
      <c r="G173" s="17">
        <f>N("Car")-IF(DAY(A173)=Budget!$G$4,Budget!$F$4+Budget!$H$4,0)</f>
        <v>0</v>
      </c>
      <c r="H173" s="17">
        <f>N("Mom Rent")-IF(DAY(A173)=Budget!$G$5,Budget!$F$5,0)</f>
        <v>0</v>
      </c>
      <c r="I173" s="17">
        <f>N("AT&amp;T")-IF(DAY(A173)=Budget!$G$8,Budget!$F$8,0)</f>
        <v>0</v>
      </c>
      <c r="J173" s="17">
        <f>N("GA Power")-IF(DAY(A173)=Budget!$G$9,Budget!$F$9,0)</f>
        <v>0</v>
      </c>
      <c r="K173" s="17">
        <f>N("Haircut")-IF(DAY(A173)=Budget!$G$10,Budget!$F$10,0)</f>
        <v>0</v>
      </c>
      <c r="L173" s="17">
        <f>N("Groceries")-IF(DAY(A173)=Budget!$G$6,Budget!$F$6,0)</f>
        <v>0</v>
      </c>
      <c r="M173" s="17">
        <f>N("Savings")-IF(DAY(A173)=Budget!$G$7,Budget!$F$7,0)</f>
        <v>0</v>
      </c>
      <c r="N173" s="17">
        <f>N("Car Insurance")-COUNTIF(Budget!$G$14, A173)*Budget!$F$14</f>
        <v>0</v>
      </c>
      <c r="O173" s="17">
        <f>N("Phone Bill")-COUNTIF(Budget!$G$15, A173)*Budget!$F$15</f>
        <v>0</v>
      </c>
      <c r="Q173" s="17">
        <f>N("Spotify")-IF(AND(DAY($A173)=Budget!$M$3, MONTH($A173)=Budget!$L$3),Budget!$K$3,0)</f>
        <v>0</v>
      </c>
      <c r="R173" s="17">
        <f>N("Spotify")-IF(AND(DAY($A173)=Budget!$M$4, MONTH($A173)=Budget!$L$4),Budget!$K$4,0)</f>
        <v>0</v>
      </c>
      <c r="S173" s="17">
        <f>N("Spotify")-IF(AND(DAY($A173)=Budget!$M$5, MONTH($A173)=Budget!$L$5),Budget!$K$5,0)</f>
        <v>0</v>
      </c>
      <c r="T173" s="17">
        <f>N("Amazon Prime")-IF(DAY(A173)=Budget!$Q$3,Budget!$P$3,0)</f>
        <v>0</v>
      </c>
      <c r="U173" s="17">
        <f>N("Audible")-IF(DAY(A173)=Budget!$Q$12,Budget!$P$12,0)</f>
        <v>0</v>
      </c>
      <c r="V173" s="17">
        <f>N("Crunchyroll")-IF(DAY(A173)=Budget!$Q$5,Budget!$P$5,0)</f>
        <v>0</v>
      </c>
      <c r="W173" s="17">
        <f>N("HBO Max")-IF(DAY(A173)=Budget!$Q$6,Budget!$P$6,0)</f>
        <v>0</v>
      </c>
      <c r="X173" s="17">
        <f>N("Netflix")-IF(DAY(A173)=Budget!$Q$7,Budget!$P$7,0)</f>
        <v>0</v>
      </c>
      <c r="Y173" s="17">
        <f>N("Spotify")-IF(DAY(A173)=Budget!$Q$8,Budget!$P$8,0)</f>
        <v>0</v>
      </c>
      <c r="Z173" s="17">
        <f>N("Truebill")-IF(DAY(A173)=Budget!$Q$9,Budget!$P$9,0)</f>
        <v>0</v>
      </c>
      <c r="AA173" s="6">
        <f t="shared" ref="AA173:AA202" si="20">SUM(D173:Z173)</f>
        <v>-1278.98</v>
      </c>
    </row>
    <row r="174" spans="1:30" x14ac:dyDescent="0.3">
      <c r="A174" s="4">
        <f>A173+1</f>
        <v>45810</v>
      </c>
      <c r="B174" s="2">
        <f t="shared" ref="B174:B201" si="21">B173+AA174</f>
        <v>1004.6599999999997</v>
      </c>
      <c r="C174" s="7">
        <f>IF(B174&gt;B173,2,IF(B174=B173, 1,0))</f>
        <v>0</v>
      </c>
      <c r="D174" s="1">
        <v>-124</v>
      </c>
      <c r="E174" s="17">
        <f>N("PAY-LM")+IF(WEEKDAY(A174)=Budget!$C$3,Budget!$B$3,0)</f>
        <v>0</v>
      </c>
      <c r="F174" s="17">
        <f>N("Rent")-IF(DAY(A174)=Budget!$G$3,Budget!$F$3,0)</f>
        <v>0</v>
      </c>
      <c r="G174" s="17">
        <f>N("Car")-IF(DAY(A174)=Budget!$G$4,Budget!$F$4+Budget!$H$4,0)</f>
        <v>-503.35</v>
      </c>
      <c r="H174" s="17">
        <f>N("Mom Rent")-IF(DAY(A174)=Budget!$G$5,Budget!$F$5,0)</f>
        <v>0</v>
      </c>
      <c r="I174" s="17">
        <f>N("AT&amp;T")-IF(DAY(A174)=Budget!$G$8,Budget!$F$8,0)</f>
        <v>0</v>
      </c>
      <c r="J174" s="17">
        <f>N("GA Power")-IF(DAY(A174)=Budget!$G$9,Budget!$F$9,0)</f>
        <v>0</v>
      </c>
      <c r="K174" s="17">
        <f>N("Haircut")-IF(DAY(A174)=Budget!$G$10,Budget!$F$10,0)</f>
        <v>0</v>
      </c>
      <c r="L174" s="17">
        <f>N("Groceries")-IF(DAY(A174)=Budget!$G$6,Budget!$F$6,0)</f>
        <v>-300</v>
      </c>
      <c r="M174" s="17">
        <f>N("Savings")-IF(DAY(A174)=Budget!$G$7,Budget!$F$7,0)</f>
        <v>0</v>
      </c>
      <c r="N174" s="17">
        <f>N("Car Insurance")-COUNTIF(Budget!$G$14, A174)*Budget!$F$14</f>
        <v>0</v>
      </c>
      <c r="O174" s="17">
        <f>N("Phone Bill")-COUNTIF(Budget!$G$15, A174)*Budget!$F$15</f>
        <v>0</v>
      </c>
      <c r="Q174" s="17">
        <f>N("Spotify")-IF(AND(DAY($A174)=Budget!$M$3, MONTH($A174)=Budget!$L$3),Budget!$K$3,0)</f>
        <v>0</v>
      </c>
      <c r="R174" s="17">
        <f>N("Spotify")-IF(AND(DAY($A174)=Budget!$M$4, MONTH($A174)=Budget!$L$4),Budget!$K$4,0)</f>
        <v>0</v>
      </c>
      <c r="S174" s="17">
        <f>N("Spotify")-IF(AND(DAY($A174)=Budget!$M$5, MONTH($A174)=Budget!$L$5),Budget!$K$5,0)</f>
        <v>0</v>
      </c>
      <c r="T174" s="17">
        <f>N("Amazon Prime")-IF(DAY(A174)=Budget!$Q$3,Budget!$P$3,0)</f>
        <v>0</v>
      </c>
      <c r="U174" s="17">
        <f>N("Audible")-IF(DAY(A174)=Budget!$Q$12,Budget!$P$12,0)</f>
        <v>0</v>
      </c>
      <c r="V174" s="17">
        <f>N("Crunchyroll")-IF(DAY(A174)=Budget!$Q$5,Budget!$P$5,0)</f>
        <v>0</v>
      </c>
      <c r="W174" s="17">
        <f>N("HBO Max")-IF(DAY(A174)=Budget!$Q$6,Budget!$P$6,0)</f>
        <v>0</v>
      </c>
      <c r="X174" s="17">
        <f>N("Netflix")-IF(DAY(A174)=Budget!$Q$7,Budget!$P$7,0)</f>
        <v>0</v>
      </c>
      <c r="Y174" s="17">
        <f>N("Spotify")-IF(DAY(A174)=Budget!$Q$8,Budget!$P$8,0)</f>
        <v>0</v>
      </c>
      <c r="Z174" s="17">
        <f>N("Truebill")-IF(DAY(A174)=Budget!$Q$9,Budget!$P$9,0)</f>
        <v>0</v>
      </c>
      <c r="AA174" s="6">
        <f t="shared" si="20"/>
        <v>-927.35</v>
      </c>
    </row>
    <row r="175" spans="1:30" x14ac:dyDescent="0.3">
      <c r="A175" s="4">
        <f t="shared" ref="A175:A202" si="22">A174+1</f>
        <v>45811</v>
      </c>
      <c r="B175" s="2">
        <f t="shared" si="21"/>
        <v>1004.6599999999997</v>
      </c>
      <c r="C175" s="7">
        <f t="shared" ref="C175:C200" si="23">IF(B175&gt;B174,2,IF(B175=B174, 1,0))</f>
        <v>1</v>
      </c>
      <c r="D175" s="1">
        <v>0</v>
      </c>
      <c r="E175" s="17">
        <f>N("PAY-LM")+IF(WEEKDAY(A175)=Budget!$C$3,Budget!$B$3,0)</f>
        <v>0</v>
      </c>
      <c r="F175" s="17">
        <f>N("Rent")-IF(DAY(A175)=Budget!$G$3,Budget!$F$3,0)</f>
        <v>0</v>
      </c>
      <c r="G175" s="17">
        <f>N("Car")-IF(DAY(A175)=Budget!$G$4,Budget!$F$4+Budget!$H$4,0)</f>
        <v>0</v>
      </c>
      <c r="H175" s="17">
        <f>N("Mom Rent")-IF(DAY(A175)=Budget!$G$5,Budget!$F$5,0)</f>
        <v>0</v>
      </c>
      <c r="I175" s="17">
        <f>N("AT&amp;T")-IF(DAY(A175)=Budget!$G$8,Budget!$F$8,0)</f>
        <v>0</v>
      </c>
      <c r="J175" s="17">
        <f>N("GA Power")-IF(DAY(A175)=Budget!$G$9,Budget!$F$9,0)</f>
        <v>0</v>
      </c>
      <c r="K175" s="17">
        <f>N("Haircut")-IF(DAY(A175)=Budget!$G$10,Budget!$F$10,0)</f>
        <v>0</v>
      </c>
      <c r="L175" s="17">
        <f>N("Groceries")-IF(DAY(A175)=Budget!$G$6,Budget!$F$6,0)</f>
        <v>0</v>
      </c>
      <c r="M175" s="17">
        <f>N("Savings")-IF(DAY(A175)=Budget!$G$7,Budget!$F$7,0)</f>
        <v>0</v>
      </c>
      <c r="N175" s="17">
        <f>N("Car Insurance")-COUNTIF(Budget!$G$14, A175)*Budget!$F$14</f>
        <v>0</v>
      </c>
      <c r="O175" s="17">
        <f>N("Phone Bill")-COUNTIF(Budget!$G$15, A175)*Budget!$F$15</f>
        <v>0</v>
      </c>
      <c r="Q175" s="17">
        <f>N("Spotify")-IF(AND(DAY($A175)=Budget!$M$3, MONTH($A175)=Budget!$L$3),Budget!$K$3,0)</f>
        <v>0</v>
      </c>
      <c r="R175" s="17">
        <f>N("Spotify")-IF(AND(DAY($A175)=Budget!$M$4, MONTH($A175)=Budget!$L$4),Budget!$K$4,0)</f>
        <v>0</v>
      </c>
      <c r="S175" s="17">
        <f>N("Spotify")-IF(AND(DAY($A175)=Budget!$M$5, MONTH($A175)=Budget!$L$5),Budget!$K$5,0)</f>
        <v>0</v>
      </c>
      <c r="T175" s="17">
        <f>N("Amazon Prime")-IF(DAY(A175)=Budget!$Q$3,Budget!$P$3,0)</f>
        <v>0</v>
      </c>
      <c r="U175" s="17">
        <f>N("Audible")-IF(DAY(A175)=Budget!$Q$12,Budget!$P$12,0)</f>
        <v>0</v>
      </c>
      <c r="V175" s="17">
        <f>N("Crunchyroll")-IF(DAY(A175)=Budget!$Q$5,Budget!$P$5,0)</f>
        <v>0</v>
      </c>
      <c r="W175" s="17">
        <f>N("HBO Max")-IF(DAY(A175)=Budget!$Q$6,Budget!$P$6,0)</f>
        <v>0</v>
      </c>
      <c r="X175" s="17">
        <f>N("Netflix")-IF(DAY(A175)=Budget!$Q$7,Budget!$P$7,0)</f>
        <v>0</v>
      </c>
      <c r="Y175" s="17">
        <f>N("Spotify")-IF(DAY(A175)=Budget!$Q$8,Budget!$P$8,0)</f>
        <v>0</v>
      </c>
      <c r="Z175" s="17">
        <f>N("Truebill")-IF(DAY(A175)=Budget!$Q$9,Budget!$P$9,0)</f>
        <v>0</v>
      </c>
      <c r="AA175" s="6">
        <f t="shared" si="20"/>
        <v>0</v>
      </c>
    </row>
    <row r="176" spans="1:30" x14ac:dyDescent="0.3">
      <c r="A176" s="4">
        <f t="shared" si="22"/>
        <v>45812</v>
      </c>
      <c r="B176" s="2">
        <f t="shared" si="21"/>
        <v>1004.6599999999997</v>
      </c>
      <c r="C176" s="7">
        <f t="shared" si="23"/>
        <v>1</v>
      </c>
      <c r="D176" s="1">
        <v>0</v>
      </c>
      <c r="E176" s="17">
        <f>N("PAY-LM")+IF(WEEKDAY(A176)=Budget!$C$3,Budget!$B$3,0)</f>
        <v>0</v>
      </c>
      <c r="F176" s="17">
        <f>N("Rent")-IF(DAY(A176)=Budget!$G$3,Budget!$F$3,0)</f>
        <v>0</v>
      </c>
      <c r="G176" s="17">
        <f>N("Car")-IF(DAY(A176)=Budget!$G$4,Budget!$F$4+Budget!$H$4,0)</f>
        <v>0</v>
      </c>
      <c r="H176" s="17">
        <f>N("Mom Rent")-IF(DAY(A176)=Budget!$G$5,Budget!$F$5,0)</f>
        <v>0</v>
      </c>
      <c r="I176" s="17">
        <f>N("AT&amp;T")-IF(DAY(A176)=Budget!$G$8,Budget!$F$8,0)</f>
        <v>0</v>
      </c>
      <c r="J176" s="17">
        <f>N("GA Power")-IF(DAY(A176)=Budget!$G$9,Budget!$F$9,0)</f>
        <v>0</v>
      </c>
      <c r="K176" s="17">
        <f>N("Haircut")-IF(DAY(A176)=Budget!$G$10,Budget!$F$10,0)</f>
        <v>0</v>
      </c>
      <c r="L176" s="17">
        <f>N("Groceries")-IF(DAY(A176)=Budget!$G$6,Budget!$F$6,0)</f>
        <v>0</v>
      </c>
      <c r="M176" s="17">
        <f>N("Savings")-IF(DAY(A176)=Budget!$G$7,Budget!$F$7,0)</f>
        <v>0</v>
      </c>
      <c r="N176" s="17">
        <f>N("Car Insurance")-COUNTIF(Budget!$G$14, A176)*Budget!$F$14</f>
        <v>0</v>
      </c>
      <c r="O176" s="17">
        <f>N("Phone Bill")-COUNTIF(Budget!$G$15, A176)*Budget!$F$15</f>
        <v>0</v>
      </c>
      <c r="Q176" s="17">
        <f>N("Spotify")-IF(AND(DAY($A176)=Budget!$M$3, MONTH($A176)=Budget!$L$3),Budget!$K$3,0)</f>
        <v>0</v>
      </c>
      <c r="R176" s="17">
        <f>N("Spotify")-IF(AND(DAY($A176)=Budget!$M$4, MONTH($A176)=Budget!$L$4),Budget!$K$4,0)</f>
        <v>0</v>
      </c>
      <c r="S176" s="17">
        <f>N("Spotify")-IF(AND(DAY($A176)=Budget!$M$5, MONTH($A176)=Budget!$L$5),Budget!$K$5,0)</f>
        <v>0</v>
      </c>
      <c r="T176" s="17">
        <f>N("Amazon Prime")-IF(DAY(A176)=Budget!$Q$3,Budget!$P$3,0)</f>
        <v>0</v>
      </c>
      <c r="U176" s="17">
        <f>N("Audible")-IF(DAY(A176)=Budget!$Q$12,Budget!$P$12,0)</f>
        <v>0</v>
      </c>
      <c r="V176" s="17">
        <f>N("Crunchyroll")-IF(DAY(A176)=Budget!$Q$5,Budget!$P$5,0)</f>
        <v>0</v>
      </c>
      <c r="W176" s="17">
        <f>N("HBO Max")-IF(DAY(A176)=Budget!$Q$6,Budget!$P$6,0)</f>
        <v>0</v>
      </c>
      <c r="X176" s="17">
        <f>N("Netflix")-IF(DAY(A176)=Budget!$Q$7,Budget!$P$7,0)</f>
        <v>0</v>
      </c>
      <c r="Y176" s="17">
        <f>N("Spotify")-IF(DAY(A176)=Budget!$Q$8,Budget!$P$8,0)</f>
        <v>0</v>
      </c>
      <c r="Z176" s="17">
        <f>N("Truebill")-IF(DAY(A176)=Budget!$Q$9,Budget!$P$9,0)</f>
        <v>0</v>
      </c>
      <c r="AA176" s="6">
        <f t="shared" si="20"/>
        <v>0</v>
      </c>
    </row>
    <row r="177" spans="1:27" x14ac:dyDescent="0.3">
      <c r="A177" s="4">
        <f t="shared" si="22"/>
        <v>45813</v>
      </c>
      <c r="B177" s="2">
        <f t="shared" si="21"/>
        <v>934.65999999999974</v>
      </c>
      <c r="C177" s="7">
        <f t="shared" si="23"/>
        <v>0</v>
      </c>
      <c r="D177" s="1">
        <v>0</v>
      </c>
      <c r="E177" s="17">
        <f>N("PAY-LM")+IF(WEEKDAY(A177)=Budget!$C$3,Budget!$B$3,0)</f>
        <v>0</v>
      </c>
      <c r="F177" s="17">
        <f>N("Rent")-IF(DAY(A177)=Budget!$G$3,Budget!$F$3,0)</f>
        <v>0</v>
      </c>
      <c r="G177" s="17">
        <f>N("Car")-IF(DAY(A177)=Budget!$G$4,Budget!$F$4+Budget!$H$4,0)</f>
        <v>0</v>
      </c>
      <c r="H177" s="17">
        <f>N("Mom Rent")-IF(DAY(A177)=Budget!$G$5,Budget!$F$5,0)</f>
        <v>0</v>
      </c>
      <c r="I177" s="17">
        <f>N("AT&amp;T")-IF(DAY(A177)=Budget!$G$8,Budget!$F$8,0)</f>
        <v>0</v>
      </c>
      <c r="J177" s="17">
        <f>N("GA Power")-IF(DAY(A177)=Budget!$G$9,Budget!$F$9,0)</f>
        <v>-70</v>
      </c>
      <c r="K177" s="17">
        <f>N("Haircut")-IF(DAY(A177)=Budget!$G$10,Budget!$F$10,0)</f>
        <v>0</v>
      </c>
      <c r="L177" s="17">
        <f>N("Groceries")-IF(DAY(A177)=Budget!$G$6,Budget!$F$6,0)</f>
        <v>0</v>
      </c>
      <c r="M177" s="17">
        <f>N("Savings")-IF(DAY(A177)=Budget!$G$7,Budget!$F$7,0)</f>
        <v>0</v>
      </c>
      <c r="N177" s="17">
        <f>N("Car Insurance")-COUNTIF(Budget!$G$14, A177)*Budget!$F$14</f>
        <v>0</v>
      </c>
      <c r="O177" s="17">
        <f>N("Phone Bill")-COUNTIF(Budget!$G$15, A177)*Budget!$F$15</f>
        <v>0</v>
      </c>
      <c r="Q177" s="17">
        <f>N("Spotify")-IF(AND(DAY($A177)=Budget!$M$3, MONTH($A177)=Budget!$L$3),Budget!$K$3,0)</f>
        <v>0</v>
      </c>
      <c r="R177" s="17">
        <f>N("Spotify")-IF(AND(DAY($A177)=Budget!$M$4, MONTH($A177)=Budget!$L$4),Budget!$K$4,0)</f>
        <v>0</v>
      </c>
      <c r="S177" s="17">
        <f>N("Spotify")-IF(AND(DAY($A177)=Budget!$M$5, MONTH($A177)=Budget!$L$5),Budget!$K$5,0)</f>
        <v>0</v>
      </c>
      <c r="T177" s="17">
        <f>N("Amazon Prime")-IF(DAY(A177)=Budget!$Q$3,Budget!$P$3,0)</f>
        <v>0</v>
      </c>
      <c r="U177" s="17">
        <f>N("Audible")-IF(DAY(A177)=Budget!$Q$12,Budget!$P$12,0)</f>
        <v>0</v>
      </c>
      <c r="V177" s="17">
        <f>N("Crunchyroll")-IF(DAY(A177)=Budget!$Q$5,Budget!$P$5,0)</f>
        <v>0</v>
      </c>
      <c r="W177" s="17">
        <f>N("HBO Max")-IF(DAY(A177)=Budget!$Q$6,Budget!$P$6,0)</f>
        <v>0</v>
      </c>
      <c r="X177" s="17">
        <f>N("Netflix")-IF(DAY(A177)=Budget!$Q$7,Budget!$P$7,0)</f>
        <v>0</v>
      </c>
      <c r="Y177" s="17">
        <f>N("Spotify")-IF(DAY(A177)=Budget!$Q$8,Budget!$P$8,0)</f>
        <v>0</v>
      </c>
      <c r="Z177" s="17">
        <f>N("Truebill")-IF(DAY(A177)=Budget!$Q$9,Budget!$P$9,0)</f>
        <v>0</v>
      </c>
      <c r="AA177" s="6">
        <f t="shared" si="20"/>
        <v>-70</v>
      </c>
    </row>
    <row r="178" spans="1:27" x14ac:dyDescent="0.3">
      <c r="A178" s="4">
        <f t="shared" si="22"/>
        <v>45814</v>
      </c>
      <c r="B178" s="2">
        <f t="shared" si="21"/>
        <v>2387.66</v>
      </c>
      <c r="C178" s="7">
        <f t="shared" si="23"/>
        <v>2</v>
      </c>
      <c r="D178" s="1">
        <v>0</v>
      </c>
      <c r="E178" s="17">
        <f>N("PAY-LM")+IF(WEEKDAY(A178)=Budget!$C$3,Budget!$B$3,0)</f>
        <v>1453</v>
      </c>
      <c r="F178" s="17">
        <f>N("Rent")-IF(DAY(A178)=Budget!$G$3,Budget!$F$3,0)</f>
        <v>0</v>
      </c>
      <c r="G178" s="17">
        <f>N("Car")-IF(DAY(A178)=Budget!$G$4,Budget!$F$4+Budget!$H$4,0)</f>
        <v>0</v>
      </c>
      <c r="H178" s="17">
        <f>N("Mom Rent")-IF(DAY(A178)=Budget!$G$5,Budget!$F$5,0)</f>
        <v>0</v>
      </c>
      <c r="I178" s="17">
        <f>N("AT&amp;T")-IF(DAY(A178)=Budget!$G$8,Budget!$F$8,0)</f>
        <v>0</v>
      </c>
      <c r="J178" s="17">
        <f>N("GA Power")-IF(DAY(A178)=Budget!$G$9,Budget!$F$9,0)</f>
        <v>0</v>
      </c>
      <c r="K178" s="17">
        <f>N("Haircut")-IF(DAY(A178)=Budget!$G$10,Budget!$F$10,0)</f>
        <v>0</v>
      </c>
      <c r="L178" s="17">
        <f>N("Groceries")-IF(DAY(A178)=Budget!$G$6,Budget!$F$6,0)</f>
        <v>0</v>
      </c>
      <c r="M178" s="17">
        <f>N("Savings")-IF(DAY(A178)=Budget!$G$7,Budget!$F$7,0)</f>
        <v>0</v>
      </c>
      <c r="N178" s="17">
        <f>N("Car Insurance")-COUNTIF(Budget!$G$14, A178)*Budget!$F$14</f>
        <v>0</v>
      </c>
      <c r="O178" s="17">
        <f>N("Phone Bill")-COUNTIF(Budget!$G$15, A178)*Budget!$F$15</f>
        <v>0</v>
      </c>
      <c r="Q178" s="17">
        <f>N("Spotify")-IF(AND(DAY($A178)=Budget!$M$3, MONTH($A178)=Budget!$L$3),Budget!$K$3,0)</f>
        <v>0</v>
      </c>
      <c r="R178" s="17">
        <f>N("Spotify")-IF(AND(DAY($A178)=Budget!$M$4, MONTH($A178)=Budget!$L$4),Budget!$K$4,0)</f>
        <v>0</v>
      </c>
      <c r="S178" s="17">
        <f>N("Spotify")-IF(AND(DAY($A178)=Budget!$M$5, MONTH($A178)=Budget!$L$5),Budget!$K$5,0)</f>
        <v>0</v>
      </c>
      <c r="T178" s="17">
        <f>N("Amazon Prime")-IF(DAY(A178)=Budget!$Q$3,Budget!$P$3,0)</f>
        <v>0</v>
      </c>
      <c r="U178" s="17">
        <f>N("Audible")-IF(DAY(A178)=Budget!$Q$12,Budget!$P$12,0)</f>
        <v>0</v>
      </c>
      <c r="V178" s="17">
        <f>N("Crunchyroll")-IF(DAY(A178)=Budget!$Q$5,Budget!$P$5,0)</f>
        <v>0</v>
      </c>
      <c r="W178" s="17">
        <f>N("HBO Max")-IF(DAY(A178)=Budget!$Q$6,Budget!$P$6,0)</f>
        <v>0</v>
      </c>
      <c r="X178" s="17">
        <f>N("Netflix")-IF(DAY(A178)=Budget!$Q$7,Budget!$P$7,0)</f>
        <v>0</v>
      </c>
      <c r="Y178" s="17">
        <f>N("Spotify")-IF(DAY(A178)=Budget!$Q$8,Budget!$P$8,0)</f>
        <v>0</v>
      </c>
      <c r="Z178" s="17">
        <f>N("Truebill")-IF(DAY(A178)=Budget!$Q$9,Budget!$P$9,0)</f>
        <v>0</v>
      </c>
      <c r="AA178" s="6">
        <f t="shared" si="20"/>
        <v>1453</v>
      </c>
    </row>
    <row r="179" spans="1:27" x14ac:dyDescent="0.3">
      <c r="A179" s="4">
        <f t="shared" si="22"/>
        <v>45815</v>
      </c>
      <c r="B179" s="2">
        <f t="shared" si="21"/>
        <v>2387.66</v>
      </c>
      <c r="C179" s="7">
        <f t="shared" si="23"/>
        <v>1</v>
      </c>
      <c r="D179" s="1">
        <v>0</v>
      </c>
      <c r="E179" s="17">
        <f>N("PAY-LM")+IF(WEEKDAY(A179)=Budget!$C$3,Budget!$B$3,0)</f>
        <v>0</v>
      </c>
      <c r="F179" s="17">
        <f>N("Rent")-IF(DAY(A179)=Budget!$G$3,Budget!$F$3,0)</f>
        <v>0</v>
      </c>
      <c r="G179" s="17">
        <f>N("Car")-IF(DAY(A179)=Budget!$G$4,Budget!$F$4+Budget!$H$4,0)</f>
        <v>0</v>
      </c>
      <c r="H179" s="17">
        <f>N("Mom Rent")-IF(DAY(A179)=Budget!$G$5,Budget!$F$5,0)</f>
        <v>0</v>
      </c>
      <c r="I179" s="17">
        <f>N("AT&amp;T")-IF(DAY(A179)=Budget!$G$8,Budget!$F$8,0)</f>
        <v>0</v>
      </c>
      <c r="J179" s="17">
        <f>N("GA Power")-IF(DAY(A179)=Budget!$G$9,Budget!$F$9,0)</f>
        <v>0</v>
      </c>
      <c r="K179" s="17">
        <f>N("Haircut")-IF(DAY(A179)=Budget!$G$10,Budget!$F$10,0)</f>
        <v>0</v>
      </c>
      <c r="L179" s="17">
        <f>N("Groceries")-IF(DAY(A179)=Budget!$G$6,Budget!$F$6,0)</f>
        <v>0</v>
      </c>
      <c r="M179" s="17">
        <f>N("Savings")-IF(DAY(A179)=Budget!$G$7,Budget!$F$7,0)</f>
        <v>0</v>
      </c>
      <c r="N179" s="17">
        <f>N("Car Insurance")-COUNTIF(Budget!$G$14, A179)*Budget!$F$14</f>
        <v>0</v>
      </c>
      <c r="O179" s="17">
        <f>N("Phone Bill")-COUNTIF(Budget!$G$15, A179)*Budget!$F$15</f>
        <v>0</v>
      </c>
      <c r="Q179" s="17">
        <f>N("Spotify")-IF(AND(DAY($A179)=Budget!$M$3, MONTH($A179)=Budget!$L$3),Budget!$K$3,0)</f>
        <v>0</v>
      </c>
      <c r="R179" s="17">
        <f>N("Spotify")-IF(AND(DAY($A179)=Budget!$M$4, MONTH($A179)=Budget!$L$4),Budget!$K$4,0)</f>
        <v>0</v>
      </c>
      <c r="S179" s="17">
        <f>N("Spotify")-IF(AND(DAY($A179)=Budget!$M$5, MONTH($A179)=Budget!$L$5),Budget!$K$5,0)</f>
        <v>0</v>
      </c>
      <c r="T179" s="17">
        <f>N("Amazon Prime")-IF(DAY(A179)=Budget!$Q$3,Budget!$P$3,0)</f>
        <v>0</v>
      </c>
      <c r="U179" s="17">
        <f>N("Audible")-IF(DAY(A179)=Budget!$Q$12,Budget!$P$12,0)</f>
        <v>0</v>
      </c>
      <c r="V179" s="17">
        <f>N("Crunchyroll")-IF(DAY(A179)=Budget!$Q$5,Budget!$P$5,0)</f>
        <v>0</v>
      </c>
      <c r="W179" s="17">
        <f>N("HBO Max")-IF(DAY(A179)=Budget!$Q$6,Budget!$P$6,0)</f>
        <v>0</v>
      </c>
      <c r="X179" s="17">
        <f>N("Netflix")-IF(DAY(A179)=Budget!$Q$7,Budget!$P$7,0)</f>
        <v>0</v>
      </c>
      <c r="Y179" s="17">
        <f>N("Spotify")-IF(DAY(A179)=Budget!$Q$8,Budget!$P$8,0)</f>
        <v>0</v>
      </c>
      <c r="Z179" s="17">
        <f>N("Truebill")-IF(DAY(A179)=Budget!$Q$9,Budget!$P$9,0)</f>
        <v>0</v>
      </c>
      <c r="AA179" s="6">
        <f t="shared" si="20"/>
        <v>0</v>
      </c>
    </row>
    <row r="180" spans="1:27" x14ac:dyDescent="0.3">
      <c r="A180" s="4">
        <f t="shared" si="22"/>
        <v>45816</v>
      </c>
      <c r="B180" s="2">
        <f t="shared" si="21"/>
        <v>2368.19</v>
      </c>
      <c r="C180" s="7">
        <f t="shared" si="23"/>
        <v>0</v>
      </c>
      <c r="D180" s="1">
        <v>0</v>
      </c>
      <c r="E180" s="17">
        <f>N("PAY-LM")+IF(WEEKDAY(A180)=Budget!$C$3,Budget!$B$3,0)</f>
        <v>0</v>
      </c>
      <c r="F180" s="17">
        <f>N("Rent")-IF(DAY(A180)=Budget!$G$3,Budget!$F$3,0)</f>
        <v>0</v>
      </c>
      <c r="G180" s="17">
        <f>N("Car")-IF(DAY(A180)=Budget!$G$4,Budget!$F$4+Budget!$H$4,0)</f>
        <v>0</v>
      </c>
      <c r="H180" s="17">
        <f>N("Mom Rent")-IF(DAY(A180)=Budget!$G$5,Budget!$F$5,0)</f>
        <v>0</v>
      </c>
      <c r="I180" s="17">
        <f>N("AT&amp;T")-IF(DAY(A180)=Budget!$G$8,Budget!$F$8,0)</f>
        <v>0</v>
      </c>
      <c r="J180" s="17">
        <f>N("GA Power")-IF(DAY(A180)=Budget!$G$9,Budget!$F$9,0)</f>
        <v>0</v>
      </c>
      <c r="K180" s="17">
        <f>N("Haircut")-IF(DAY(A180)=Budget!$G$10,Budget!$F$10,0)</f>
        <v>0</v>
      </c>
      <c r="L180" s="17">
        <f>N("Groceries")-IF(DAY(A180)=Budget!$G$6,Budget!$F$6,0)</f>
        <v>0</v>
      </c>
      <c r="M180" s="17">
        <f>N("Savings")-IF(DAY(A180)=Budget!$G$7,Budget!$F$7,0)</f>
        <v>0</v>
      </c>
      <c r="N180" s="17">
        <f>N("Car Insurance")-COUNTIF(Budget!$G$14, A180)*Budget!$F$14</f>
        <v>0</v>
      </c>
      <c r="O180" s="17">
        <f>N("Phone Bill")-COUNTIF(Budget!$G$15, A180)*Budget!$F$15</f>
        <v>0</v>
      </c>
      <c r="Q180" s="17">
        <f>N("Spotify")-IF(AND(DAY($A180)=Budget!$M$3, MONTH($A180)=Budget!$L$3),Budget!$K$3,0)</f>
        <v>0</v>
      </c>
      <c r="R180" s="17">
        <f>N("Spotify")-IF(AND(DAY($A180)=Budget!$M$4, MONTH($A180)=Budget!$L$4),Budget!$K$4,0)</f>
        <v>0</v>
      </c>
      <c r="S180" s="17">
        <f>N("Spotify")-IF(AND(DAY($A180)=Budget!$M$5, MONTH($A180)=Budget!$L$5),Budget!$K$5,0)</f>
        <v>0</v>
      </c>
      <c r="T180" s="17">
        <f>N("Amazon Prime")-IF(DAY(A180)=Budget!$Q$3,Budget!$P$3,0)</f>
        <v>-7.48</v>
      </c>
      <c r="U180" s="17">
        <f>N("Audible")-IF(DAY(A180)=Budget!$Q$12,Budget!$P$12,0)</f>
        <v>0</v>
      </c>
      <c r="V180" s="17">
        <f>N("Crunchyroll")-IF(DAY(A180)=Budget!$Q$5,Budget!$P$5,0)</f>
        <v>0</v>
      </c>
      <c r="W180" s="17">
        <f>N("HBO Max")-IF(DAY(A180)=Budget!$Q$6,Budget!$P$6,0)</f>
        <v>-11.99</v>
      </c>
      <c r="X180" s="17">
        <f>N("Netflix")-IF(DAY(A180)=Budget!$Q$7,Budget!$P$7,0)</f>
        <v>0</v>
      </c>
      <c r="Y180" s="17">
        <f>N("Spotify")-IF(DAY(A180)=Budget!$Q$8,Budget!$P$8,0)</f>
        <v>0</v>
      </c>
      <c r="Z180" s="17">
        <f>N("Truebill")-IF(DAY(A180)=Budget!$Q$9,Budget!$P$9,0)</f>
        <v>0</v>
      </c>
      <c r="AA180" s="6">
        <f t="shared" si="20"/>
        <v>-19.47</v>
      </c>
    </row>
    <row r="181" spans="1:27" x14ac:dyDescent="0.3">
      <c r="A181" s="4">
        <f t="shared" si="22"/>
        <v>45817</v>
      </c>
      <c r="B181" s="2">
        <f t="shared" si="21"/>
        <v>2368.19</v>
      </c>
      <c r="C181" s="7">
        <f t="shared" si="23"/>
        <v>1</v>
      </c>
      <c r="D181" s="1">
        <v>0</v>
      </c>
      <c r="E181" s="17">
        <f>N("PAY-LM")+IF(WEEKDAY(A181)=Budget!$C$3,Budget!$B$3,0)</f>
        <v>0</v>
      </c>
      <c r="F181" s="17">
        <f>N("Rent")-IF(DAY(A181)=Budget!$G$3,Budget!$F$3,0)</f>
        <v>0</v>
      </c>
      <c r="G181" s="17">
        <f>N("Car")-IF(DAY(A181)=Budget!$G$4,Budget!$F$4+Budget!$H$4,0)</f>
        <v>0</v>
      </c>
      <c r="H181" s="17">
        <f>N("Mom Rent")-IF(DAY(A181)=Budget!$G$5,Budget!$F$5,0)</f>
        <v>0</v>
      </c>
      <c r="I181" s="17">
        <f>N("AT&amp;T")-IF(DAY(A181)=Budget!$G$8,Budget!$F$8,0)</f>
        <v>0</v>
      </c>
      <c r="J181" s="17">
        <f>N("GA Power")-IF(DAY(A181)=Budget!$G$9,Budget!$F$9,0)</f>
        <v>0</v>
      </c>
      <c r="K181" s="17">
        <f>N("Haircut")-IF(DAY(A181)=Budget!$G$10,Budget!$F$10,0)</f>
        <v>0</v>
      </c>
      <c r="L181" s="17">
        <f>N("Groceries")-IF(DAY(A181)=Budget!$G$6,Budget!$F$6,0)</f>
        <v>0</v>
      </c>
      <c r="M181" s="17">
        <f>N("Savings")-IF(DAY(A181)=Budget!$G$7,Budget!$F$7,0)</f>
        <v>0</v>
      </c>
      <c r="N181" s="17">
        <f>N("Car Insurance")-COUNTIF(Budget!$G$14, A181)*Budget!$F$14</f>
        <v>0</v>
      </c>
      <c r="O181" s="17">
        <f>N("Phone Bill")-COUNTIF(Budget!$G$15, A181)*Budget!$F$15</f>
        <v>0</v>
      </c>
      <c r="Q181" s="17">
        <f>N("Spotify")-IF(AND(DAY($A181)=Budget!$M$3, MONTH($A181)=Budget!$L$3),Budget!$K$3,0)</f>
        <v>0</v>
      </c>
      <c r="R181" s="17">
        <f>N("Spotify")-IF(AND(DAY($A181)=Budget!$M$4, MONTH($A181)=Budget!$L$4),Budget!$K$4,0)</f>
        <v>0</v>
      </c>
      <c r="S181" s="17">
        <f>N("Spotify")-IF(AND(DAY($A181)=Budget!$M$5, MONTH($A181)=Budget!$L$5),Budget!$K$5,0)</f>
        <v>0</v>
      </c>
      <c r="T181" s="17">
        <f>N("Amazon Prime")-IF(DAY(A181)=Budget!$Q$3,Budget!$P$3,0)</f>
        <v>0</v>
      </c>
      <c r="U181" s="17">
        <f>N("Audible")-IF(DAY(A181)=Budget!$Q$12,Budget!$P$12,0)</f>
        <v>0</v>
      </c>
      <c r="V181" s="17">
        <f>N("Crunchyroll")-IF(DAY(A181)=Budget!$Q$5,Budget!$P$5,0)</f>
        <v>0</v>
      </c>
      <c r="W181" s="17">
        <f>N("HBO Max")-IF(DAY(A181)=Budget!$Q$6,Budget!$P$6,0)</f>
        <v>0</v>
      </c>
      <c r="X181" s="17">
        <f>N("Netflix")-IF(DAY(A181)=Budget!$Q$7,Budget!$P$7,0)</f>
        <v>0</v>
      </c>
      <c r="Y181" s="17">
        <f>N("Spotify")-IF(DAY(A181)=Budget!$Q$8,Budget!$P$8,0)</f>
        <v>0</v>
      </c>
      <c r="Z181" s="17">
        <f>N("Truebill")-IF(DAY(A181)=Budget!$Q$9,Budget!$P$9,0)</f>
        <v>0</v>
      </c>
      <c r="AA181" s="6">
        <f t="shared" si="20"/>
        <v>0</v>
      </c>
    </row>
    <row r="182" spans="1:27" x14ac:dyDescent="0.3">
      <c r="A182" s="4">
        <f t="shared" si="22"/>
        <v>45818</v>
      </c>
      <c r="B182" s="2">
        <f t="shared" si="21"/>
        <v>2368.19</v>
      </c>
      <c r="C182" s="7">
        <f t="shared" si="23"/>
        <v>1</v>
      </c>
      <c r="D182" s="1">
        <v>0</v>
      </c>
      <c r="E182" s="17">
        <f>N("PAY-LM")+IF(WEEKDAY(A182)=Budget!$C$3,Budget!$B$3,0)</f>
        <v>0</v>
      </c>
      <c r="F182" s="17">
        <f>N("Rent")-IF(DAY(A182)=Budget!$G$3,Budget!$F$3,0)</f>
        <v>0</v>
      </c>
      <c r="G182" s="17">
        <f>N("Car")-IF(DAY(A182)=Budget!$G$4,Budget!$F$4+Budget!$H$4,0)</f>
        <v>0</v>
      </c>
      <c r="H182" s="17">
        <f>N("Mom Rent")-IF(DAY(A182)=Budget!$G$5,Budget!$F$5,0)</f>
        <v>0</v>
      </c>
      <c r="I182" s="17">
        <f>N("AT&amp;T")-IF(DAY(A182)=Budget!$G$8,Budget!$F$8,0)</f>
        <v>0</v>
      </c>
      <c r="J182" s="17">
        <f>N("GA Power")-IF(DAY(A182)=Budget!$G$9,Budget!$F$9,0)</f>
        <v>0</v>
      </c>
      <c r="K182" s="17">
        <f>N("Haircut")-IF(DAY(A182)=Budget!$G$10,Budget!$F$10,0)</f>
        <v>0</v>
      </c>
      <c r="L182" s="17">
        <f>N("Groceries")-IF(DAY(A182)=Budget!$G$6,Budget!$F$6,0)</f>
        <v>0</v>
      </c>
      <c r="M182" s="17">
        <f>N("Savings")-IF(DAY(A182)=Budget!$G$7,Budget!$F$7,0)</f>
        <v>0</v>
      </c>
      <c r="N182" s="17">
        <f>N("Car Insurance")-COUNTIF(Budget!$G$14, A182)*Budget!$F$14</f>
        <v>0</v>
      </c>
      <c r="O182" s="17">
        <f>N("Phone Bill")-COUNTIF(Budget!$G$15, A182)*Budget!$F$15</f>
        <v>0</v>
      </c>
      <c r="Q182" s="17">
        <f>N("Spotify")-IF(AND(DAY($A182)=Budget!$M$3, MONTH($A182)=Budget!$L$3),Budget!$K$3,0)</f>
        <v>0</v>
      </c>
      <c r="R182" s="17">
        <f>N("Spotify")-IF(AND(DAY($A182)=Budget!$M$4, MONTH($A182)=Budget!$L$4),Budget!$K$4,0)</f>
        <v>0</v>
      </c>
      <c r="S182" s="17">
        <f>N("Spotify")-IF(AND(DAY($A182)=Budget!$M$5, MONTH($A182)=Budget!$L$5),Budget!$K$5,0)</f>
        <v>0</v>
      </c>
      <c r="T182" s="17">
        <f>N("Amazon Prime")-IF(DAY(A182)=Budget!$Q$3,Budget!$P$3,0)</f>
        <v>0</v>
      </c>
      <c r="U182" s="17">
        <f>N("Audible")-IF(DAY(A182)=Budget!$Q$12,Budget!$P$12,0)</f>
        <v>0</v>
      </c>
      <c r="V182" s="17">
        <f>N("Crunchyroll")-IF(DAY(A182)=Budget!$Q$5,Budget!$P$5,0)</f>
        <v>0</v>
      </c>
      <c r="W182" s="17">
        <f>N("HBO Max")-IF(DAY(A182)=Budget!$Q$6,Budget!$P$6,0)</f>
        <v>0</v>
      </c>
      <c r="X182" s="17">
        <f>N("Netflix")-IF(DAY(A182)=Budget!$Q$7,Budget!$P$7,0)</f>
        <v>0</v>
      </c>
      <c r="Y182" s="17">
        <f>N("Spotify")-IF(DAY(A182)=Budget!$Q$8,Budget!$P$8,0)</f>
        <v>0</v>
      </c>
      <c r="Z182" s="17">
        <f>N("Truebill")-IF(DAY(A182)=Budget!$Q$9,Budget!$P$9,0)</f>
        <v>0</v>
      </c>
      <c r="AA182" s="6">
        <f t="shared" si="20"/>
        <v>0</v>
      </c>
    </row>
    <row r="183" spans="1:27" x14ac:dyDescent="0.3">
      <c r="A183" s="4">
        <f t="shared" si="22"/>
        <v>45819</v>
      </c>
      <c r="B183" s="2">
        <f t="shared" si="21"/>
        <v>2368.19</v>
      </c>
      <c r="C183" s="7">
        <f t="shared" si="23"/>
        <v>1</v>
      </c>
      <c r="D183" s="1">
        <v>0</v>
      </c>
      <c r="E183" s="17">
        <f>N("PAY-LM")+IF(WEEKDAY(A183)=Budget!$C$3,Budget!$B$3,0)</f>
        <v>0</v>
      </c>
      <c r="F183" s="17">
        <f>N("Rent")-IF(DAY(A183)=Budget!$G$3,Budget!$F$3,0)</f>
        <v>0</v>
      </c>
      <c r="G183" s="17">
        <f>N("Car")-IF(DAY(A183)=Budget!$G$4,Budget!$F$4+Budget!$H$4,0)</f>
        <v>0</v>
      </c>
      <c r="H183" s="17">
        <f>N("Mom Rent")-IF(DAY(A183)=Budget!$G$5,Budget!$F$5,0)</f>
        <v>0</v>
      </c>
      <c r="I183" s="17">
        <f>N("AT&amp;T")-IF(DAY(A183)=Budget!$G$8,Budget!$F$8,0)</f>
        <v>0</v>
      </c>
      <c r="J183" s="17">
        <f>N("GA Power")-IF(DAY(A183)=Budget!$G$9,Budget!$F$9,0)</f>
        <v>0</v>
      </c>
      <c r="K183" s="17">
        <f>N("Haircut")-IF(DAY(A183)=Budget!$G$10,Budget!$F$10,0)</f>
        <v>0</v>
      </c>
      <c r="L183" s="17">
        <f>N("Groceries")-IF(DAY(A183)=Budget!$G$6,Budget!$F$6,0)</f>
        <v>0</v>
      </c>
      <c r="M183" s="17">
        <f>N("Savings")-IF(DAY(A183)=Budget!$G$7,Budget!$F$7,0)</f>
        <v>0</v>
      </c>
      <c r="N183" s="17">
        <f>N("Car Insurance")-COUNTIF(Budget!$G$14, A183)*Budget!$F$14</f>
        <v>0</v>
      </c>
      <c r="O183" s="17">
        <f>N("Phone Bill")-COUNTIF(Budget!$G$15, A183)*Budget!$F$15</f>
        <v>0</v>
      </c>
      <c r="Q183" s="17">
        <f>N("Spotify")-IF(AND(DAY($A183)=Budget!$M$3, MONTH($A183)=Budget!$L$3),Budget!$K$3,0)</f>
        <v>0</v>
      </c>
      <c r="R183" s="17">
        <f>N("Spotify")-IF(AND(DAY($A183)=Budget!$M$4, MONTH($A183)=Budget!$L$4),Budget!$K$4,0)</f>
        <v>0</v>
      </c>
      <c r="S183" s="17">
        <f>N("Spotify")-IF(AND(DAY($A183)=Budget!$M$5, MONTH($A183)=Budget!$L$5),Budget!$K$5,0)</f>
        <v>0</v>
      </c>
      <c r="T183" s="17">
        <f>N("Amazon Prime")-IF(DAY(A183)=Budget!$Q$3,Budget!$P$3,0)</f>
        <v>0</v>
      </c>
      <c r="U183" s="17">
        <f>N("Audible")-IF(DAY(A183)=Budget!$Q$12,Budget!$P$12,0)</f>
        <v>0</v>
      </c>
      <c r="V183" s="17">
        <f>N("Crunchyroll")-IF(DAY(A183)=Budget!$Q$5,Budget!$P$5,0)</f>
        <v>0</v>
      </c>
      <c r="W183" s="17">
        <f>N("HBO Max")-IF(DAY(A183)=Budget!$Q$6,Budget!$P$6,0)</f>
        <v>0</v>
      </c>
      <c r="X183" s="17">
        <f>N("Netflix")-IF(DAY(A183)=Budget!$Q$7,Budget!$P$7,0)</f>
        <v>0</v>
      </c>
      <c r="Y183" s="17">
        <f>N("Spotify")-IF(DAY(A183)=Budget!$Q$8,Budget!$P$8,0)</f>
        <v>0</v>
      </c>
      <c r="Z183" s="17">
        <f>N("Truebill")-IF(DAY(A183)=Budget!$Q$9,Budget!$P$9,0)</f>
        <v>0</v>
      </c>
      <c r="AA183" s="6">
        <f t="shared" si="20"/>
        <v>0</v>
      </c>
    </row>
    <row r="184" spans="1:27" x14ac:dyDescent="0.3">
      <c r="A184" s="4">
        <f t="shared" si="22"/>
        <v>45820</v>
      </c>
      <c r="B184" s="2">
        <f t="shared" si="21"/>
        <v>2362.19</v>
      </c>
      <c r="C184" s="7">
        <f t="shared" si="23"/>
        <v>0</v>
      </c>
      <c r="D184" s="1">
        <v>0</v>
      </c>
      <c r="E184" s="17">
        <f>N("PAY-LM")+IF(WEEKDAY(A184)=Budget!$C$3,Budget!$B$3,0)</f>
        <v>0</v>
      </c>
      <c r="F184" s="17">
        <f>N("Rent")-IF(DAY(A184)=Budget!$G$3,Budget!$F$3,0)</f>
        <v>0</v>
      </c>
      <c r="G184" s="17">
        <f>N("Car")-IF(DAY(A184)=Budget!$G$4,Budget!$F$4+Budget!$H$4,0)</f>
        <v>0</v>
      </c>
      <c r="H184" s="17">
        <f>N("Mom Rent")-IF(DAY(A184)=Budget!$G$5,Budget!$F$5,0)</f>
        <v>0</v>
      </c>
      <c r="I184" s="17">
        <f>N("AT&amp;T")-IF(DAY(A184)=Budget!$G$8,Budget!$F$8,0)</f>
        <v>0</v>
      </c>
      <c r="J184" s="17">
        <f>N("GA Power")-IF(DAY(A184)=Budget!$G$9,Budget!$F$9,0)</f>
        <v>0</v>
      </c>
      <c r="K184" s="17">
        <f>N("Haircut")-IF(DAY(A184)=Budget!$G$10,Budget!$F$10,0)</f>
        <v>0</v>
      </c>
      <c r="L184" s="17">
        <f>N("Groceries")-IF(DAY(A184)=Budget!$G$6,Budget!$F$6,0)</f>
        <v>0</v>
      </c>
      <c r="M184" s="17">
        <f>N("Savings")-IF(DAY(A184)=Budget!$G$7,Budget!$F$7,0)</f>
        <v>0</v>
      </c>
      <c r="N184" s="17">
        <f>N("Car Insurance")-COUNTIF(Budget!$G$14, A184)*Budget!$F$14</f>
        <v>0</v>
      </c>
      <c r="O184" s="17">
        <f>N("Phone Bill")-COUNTIF(Budget!$G$15, A184)*Budget!$F$15</f>
        <v>0</v>
      </c>
      <c r="Q184" s="17">
        <f>N("Spotify")-IF(AND(DAY($A184)=Budget!$M$3, MONTH($A184)=Budget!$L$3),Budget!$K$3,0)</f>
        <v>0</v>
      </c>
      <c r="R184" s="17">
        <f>N("Spotify")-IF(AND(DAY($A184)=Budget!$M$4, MONTH($A184)=Budget!$L$4),Budget!$K$4,0)</f>
        <v>0</v>
      </c>
      <c r="S184" s="17">
        <f>N("Spotify")-IF(AND(DAY($A184)=Budget!$M$5, MONTH($A184)=Budget!$L$5),Budget!$K$5,0)</f>
        <v>0</v>
      </c>
      <c r="T184" s="17">
        <f>N("Amazon Prime")-IF(DAY(A184)=Budget!$Q$3,Budget!$P$3,0)</f>
        <v>0</v>
      </c>
      <c r="U184" s="17">
        <f>N("Audible")-IF(DAY(A184)=Budget!$Q$12,Budget!$P$12,0)</f>
        <v>0</v>
      </c>
      <c r="V184" s="17">
        <f>N("Crunchyroll")-IF(DAY(A184)=Budget!$Q$5,Budget!$P$5,0)</f>
        <v>0</v>
      </c>
      <c r="W184" s="17">
        <f>N("HBO Max")-IF(DAY(A184)=Budget!$Q$6,Budget!$P$6,0)</f>
        <v>0</v>
      </c>
      <c r="X184" s="17">
        <f>N("Netflix")-IF(DAY(A184)=Budget!$Q$7,Budget!$P$7,0)</f>
        <v>-6</v>
      </c>
      <c r="Y184" s="17">
        <f>N("Spotify")-IF(DAY(A184)=Budget!$Q$8,Budget!$P$8,0)</f>
        <v>0</v>
      </c>
      <c r="Z184" s="17">
        <f>N("Truebill")-IF(DAY(A184)=Budget!$Q$9,Budget!$P$9,0)</f>
        <v>0</v>
      </c>
      <c r="AA184" s="6">
        <f t="shared" si="20"/>
        <v>-6</v>
      </c>
    </row>
    <row r="185" spans="1:27" x14ac:dyDescent="0.3">
      <c r="A185" s="4">
        <f t="shared" si="22"/>
        <v>45821</v>
      </c>
      <c r="B185" s="2">
        <f t="shared" si="21"/>
        <v>3815.19</v>
      </c>
      <c r="C185" s="7">
        <f t="shared" si="23"/>
        <v>2</v>
      </c>
      <c r="D185" s="1">
        <v>0</v>
      </c>
      <c r="E185" s="17">
        <f>N("PAY-LM")+IF(WEEKDAY(A185)=Budget!$C$3,Budget!$B$3,0)</f>
        <v>1453</v>
      </c>
      <c r="F185" s="17">
        <f>N("Rent")-IF(DAY(A185)=Budget!$G$3,Budget!$F$3,0)</f>
        <v>0</v>
      </c>
      <c r="G185" s="17">
        <f>N("Car")-IF(DAY(A185)=Budget!$G$4,Budget!$F$4+Budget!$H$4,0)</f>
        <v>0</v>
      </c>
      <c r="H185" s="17">
        <f>N("Mom Rent")-IF(DAY(A185)=Budget!$G$5,Budget!$F$5,0)</f>
        <v>0</v>
      </c>
      <c r="I185" s="17">
        <f>N("AT&amp;T")-IF(DAY(A185)=Budget!$G$8,Budget!$F$8,0)</f>
        <v>0</v>
      </c>
      <c r="J185" s="17">
        <f>N("GA Power")-IF(DAY(A185)=Budget!$G$9,Budget!$F$9,0)</f>
        <v>0</v>
      </c>
      <c r="K185" s="17">
        <f>N("Haircut")-IF(DAY(A185)=Budget!$G$10,Budget!$F$10,0)</f>
        <v>0</v>
      </c>
      <c r="L185" s="17">
        <f>N("Groceries")-IF(DAY(A185)=Budget!$G$6,Budget!$F$6,0)</f>
        <v>0</v>
      </c>
      <c r="M185" s="17">
        <f>N("Savings")-IF(DAY(A185)=Budget!$G$7,Budget!$F$7,0)</f>
        <v>0</v>
      </c>
      <c r="N185" s="17">
        <f>N("Car Insurance")-COUNTIF(Budget!$G$14, A185)*Budget!$F$14</f>
        <v>0</v>
      </c>
      <c r="O185" s="17">
        <f>N("Phone Bill")-COUNTIF(Budget!$G$15, A185)*Budget!$F$15</f>
        <v>0</v>
      </c>
      <c r="Q185" s="17">
        <f>N("Spotify")-IF(AND(DAY($A185)=Budget!$M$3, MONTH($A185)=Budget!$L$3),Budget!$K$3,0)</f>
        <v>0</v>
      </c>
      <c r="R185" s="17">
        <f>N("Spotify")-IF(AND(DAY($A185)=Budget!$M$4, MONTH($A185)=Budget!$L$4),Budget!$K$4,0)</f>
        <v>0</v>
      </c>
      <c r="S185" s="17">
        <f>N("Spotify")-IF(AND(DAY($A185)=Budget!$M$5, MONTH($A185)=Budget!$L$5),Budget!$K$5,0)</f>
        <v>0</v>
      </c>
      <c r="T185" s="17">
        <f>N("Amazon Prime")-IF(DAY(A185)=Budget!$Q$3,Budget!$P$3,0)</f>
        <v>0</v>
      </c>
      <c r="U185" s="17">
        <f>N("Audible")-IF(DAY(A185)=Budget!$Q$12,Budget!$P$12,0)</f>
        <v>0</v>
      </c>
      <c r="V185" s="17">
        <f>N("Crunchyroll")-IF(DAY(A185)=Budget!$Q$5,Budget!$P$5,0)</f>
        <v>0</v>
      </c>
      <c r="W185" s="17">
        <f>N("HBO Max")-IF(DAY(A185)=Budget!$Q$6,Budget!$P$6,0)</f>
        <v>0</v>
      </c>
      <c r="X185" s="17">
        <f>N("Netflix")-IF(DAY(A185)=Budget!$Q$7,Budget!$P$7,0)</f>
        <v>0</v>
      </c>
      <c r="Y185" s="17">
        <f>N("Spotify")-IF(DAY(A185)=Budget!$Q$8,Budget!$P$8,0)</f>
        <v>0</v>
      </c>
      <c r="Z185" s="17">
        <f>N("Truebill")-IF(DAY(A185)=Budget!$Q$9,Budget!$P$9,0)</f>
        <v>0</v>
      </c>
      <c r="AA185" s="6">
        <f t="shared" si="20"/>
        <v>1453</v>
      </c>
    </row>
    <row r="186" spans="1:27" x14ac:dyDescent="0.3">
      <c r="A186" s="4">
        <f t="shared" si="22"/>
        <v>45822</v>
      </c>
      <c r="B186" s="2">
        <f t="shared" si="21"/>
        <v>3815.19</v>
      </c>
      <c r="C186" s="7">
        <f t="shared" si="23"/>
        <v>1</v>
      </c>
      <c r="D186" s="1">
        <v>0</v>
      </c>
      <c r="E186" s="17">
        <f>N("PAY-LM")+IF(WEEKDAY(A186)=Budget!$C$3,Budget!$B$3,0)</f>
        <v>0</v>
      </c>
      <c r="F186" s="17">
        <f>N("Rent")-IF(DAY(A186)=Budget!$G$3,Budget!$F$3,0)</f>
        <v>0</v>
      </c>
      <c r="G186" s="17">
        <f>N("Car")-IF(DAY(A186)=Budget!$G$4,Budget!$F$4+Budget!$H$4,0)</f>
        <v>0</v>
      </c>
      <c r="H186" s="17">
        <f>N("Mom Rent")-IF(DAY(A186)=Budget!$G$5,Budget!$F$5,0)</f>
        <v>0</v>
      </c>
      <c r="I186" s="17">
        <f>N("AT&amp;T")-IF(DAY(A186)=Budget!$G$8,Budget!$F$8,0)</f>
        <v>0</v>
      </c>
      <c r="J186" s="17">
        <f>N("GA Power")-IF(DAY(A186)=Budget!$G$9,Budget!$F$9,0)</f>
        <v>0</v>
      </c>
      <c r="K186" s="17">
        <f>N("Haircut")-IF(DAY(A186)=Budget!$G$10,Budget!$F$10,0)</f>
        <v>0</v>
      </c>
      <c r="L186" s="17">
        <f>N("Groceries")-IF(DAY(A186)=Budget!$G$6,Budget!$F$6,0)</f>
        <v>0</v>
      </c>
      <c r="M186" s="17">
        <f>N("Savings")-IF(DAY(A186)=Budget!$G$7,Budget!$F$7,0)</f>
        <v>0</v>
      </c>
      <c r="N186" s="17">
        <f>N("Car Insurance")-COUNTIF(Budget!$G$14, A186)*Budget!$F$14</f>
        <v>0</v>
      </c>
      <c r="O186" s="17">
        <f>N("Phone Bill")-COUNTIF(Budget!$G$15, A186)*Budget!$F$15</f>
        <v>0</v>
      </c>
      <c r="Q186" s="17">
        <f>N("Spotify")-IF(AND(DAY($A186)=Budget!$M$3, MONTH($A186)=Budget!$L$3),Budget!$K$3,0)</f>
        <v>0</v>
      </c>
      <c r="R186" s="17">
        <f>N("Spotify")-IF(AND(DAY($A186)=Budget!$M$4, MONTH($A186)=Budget!$L$4),Budget!$K$4,0)</f>
        <v>0</v>
      </c>
      <c r="S186" s="17">
        <f>N("Spotify")-IF(AND(DAY($A186)=Budget!$M$5, MONTH($A186)=Budget!$L$5),Budget!$K$5,0)</f>
        <v>0</v>
      </c>
      <c r="T186" s="17">
        <f>N("Amazon Prime")-IF(DAY(A186)=Budget!$Q$3,Budget!$P$3,0)</f>
        <v>0</v>
      </c>
      <c r="U186" s="17">
        <f>N("Audible")-IF(DAY(A186)=Budget!$Q$12,Budget!$P$12,0)</f>
        <v>0</v>
      </c>
      <c r="V186" s="17">
        <f>N("Crunchyroll")-IF(DAY(A186)=Budget!$Q$5,Budget!$P$5,0)</f>
        <v>0</v>
      </c>
      <c r="W186" s="17">
        <f>N("HBO Max")-IF(DAY(A186)=Budget!$Q$6,Budget!$P$6,0)</f>
        <v>0</v>
      </c>
      <c r="X186" s="17">
        <f>N("Netflix")-IF(DAY(A186)=Budget!$Q$7,Budget!$P$7,0)</f>
        <v>0</v>
      </c>
      <c r="Y186" s="17">
        <f>N("Spotify")-IF(DAY(A186)=Budget!$Q$8,Budget!$P$8,0)</f>
        <v>0</v>
      </c>
      <c r="Z186" s="17">
        <f>N("Truebill")-IF(DAY(A186)=Budget!$Q$9,Budget!$P$9,0)</f>
        <v>0</v>
      </c>
      <c r="AA186" s="6">
        <f t="shared" si="20"/>
        <v>0</v>
      </c>
    </row>
    <row r="187" spans="1:27" x14ac:dyDescent="0.3">
      <c r="A187" s="4">
        <f t="shared" si="22"/>
        <v>45823</v>
      </c>
      <c r="B187" s="2">
        <f>2394.86</f>
        <v>2394.86</v>
      </c>
      <c r="C187" s="7">
        <f t="shared" si="23"/>
        <v>0</v>
      </c>
      <c r="D187" s="1">
        <v>0</v>
      </c>
      <c r="E187" s="17">
        <f>N("PAY-LM")+IF(WEEKDAY(A187)=Budget!$C$3,Budget!$B$3,0)</f>
        <v>0</v>
      </c>
      <c r="F187" s="17">
        <f>N("Rent")-IF(DAY(A187)=Budget!$G$3,Budget!$F$3,0)</f>
        <v>0</v>
      </c>
      <c r="G187" s="17">
        <f>N("Car")-IF(DAY(A187)=Budget!$G$4,Budget!$F$4+Budget!$H$4,0)</f>
        <v>0</v>
      </c>
      <c r="H187" s="17">
        <f>N("Mom Rent")-IF(DAY(A187)=Budget!$G$5,Budget!$F$5,0)</f>
        <v>0</v>
      </c>
      <c r="I187" s="17">
        <f>N("AT&amp;T")-IF(DAY(A187)=Budget!$G$8,Budget!$F$8,0)</f>
        <v>0</v>
      </c>
      <c r="J187" s="17">
        <f>N("GA Power")-IF(DAY(A187)=Budget!$G$9,Budget!$F$9,0)</f>
        <v>0</v>
      </c>
      <c r="K187" s="17">
        <f>N("Haircut")-IF(DAY(A187)=Budget!$G$10,Budget!$F$10,0)</f>
        <v>0</v>
      </c>
      <c r="L187" s="17">
        <f>N("Groceries")-IF(DAY(A187)=Budget!$G$6,Budget!$F$6,0)</f>
        <v>0</v>
      </c>
      <c r="M187" s="17">
        <f>N("Savings")-IF(DAY(A187)=Budget!$G$7,Budget!$F$7,0)</f>
        <v>0</v>
      </c>
      <c r="N187" s="17">
        <f>N("Car Insurance")-COUNTIF(Budget!$G$14, A187)*Budget!$F$14</f>
        <v>0</v>
      </c>
      <c r="O187" s="17">
        <f>N("Phone Bill")-COUNTIF(Budget!$G$15, A187)*Budget!$F$15</f>
        <v>0</v>
      </c>
      <c r="Q187" s="17">
        <f>N("Spotify")-IF(AND(DAY($A187)=Budget!$M$3, MONTH($A187)=Budget!$L$3),Budget!$K$3,0)</f>
        <v>0</v>
      </c>
      <c r="R187" s="17">
        <f>N("Spotify")-IF(AND(DAY($A187)=Budget!$M$4, MONTH($A187)=Budget!$L$4),Budget!$K$4,0)</f>
        <v>0</v>
      </c>
      <c r="S187" s="17">
        <f>N("Spotify")-IF(AND(DAY($A187)=Budget!$M$5, MONTH($A187)=Budget!$L$5),Budget!$K$5,0)</f>
        <v>0</v>
      </c>
      <c r="T187" s="17">
        <f>N("Amazon Prime")-IF(DAY(A187)=Budget!$Q$3,Budget!$P$3,0)</f>
        <v>0</v>
      </c>
      <c r="U187" s="17">
        <f>N("Audible")-IF(DAY(A187)=Budget!$Q$12,Budget!$P$12,0)</f>
        <v>0</v>
      </c>
      <c r="V187" s="17">
        <f>N("Crunchyroll")-IF(DAY(A187)=Budget!$Q$5,Budget!$P$5,0)</f>
        <v>0</v>
      </c>
      <c r="W187" s="17">
        <f>N("HBO Max")-IF(DAY(A187)=Budget!$Q$6,Budget!$P$6,0)</f>
        <v>0</v>
      </c>
      <c r="X187" s="17">
        <f>N("Netflix")-IF(DAY(A187)=Budget!$Q$7,Budget!$P$7,0)</f>
        <v>0</v>
      </c>
      <c r="Y187" s="17">
        <f>N("Spotify")-IF(DAY(A187)=Budget!$Q$8,Budget!$P$8,0)</f>
        <v>0</v>
      </c>
      <c r="Z187" s="17">
        <f>N("Truebill")-IF(DAY(A187)=Budget!$Q$9,Budget!$P$9,0)</f>
        <v>0</v>
      </c>
      <c r="AA187" s="6">
        <f t="shared" si="20"/>
        <v>0</v>
      </c>
    </row>
    <row r="188" spans="1:27" x14ac:dyDescent="0.3">
      <c r="A188" s="4">
        <f t="shared" si="22"/>
        <v>45824</v>
      </c>
      <c r="B188" s="2">
        <f t="shared" si="21"/>
        <v>2394.86</v>
      </c>
      <c r="C188" s="7">
        <f t="shared" si="23"/>
        <v>1</v>
      </c>
      <c r="D188" s="1">
        <v>0</v>
      </c>
      <c r="E188" s="17">
        <f>N("PAY-LM")+IF(WEEKDAY(A188)=Budget!$C$3,Budget!$B$3,0)</f>
        <v>0</v>
      </c>
      <c r="F188" s="17">
        <f>N("Rent")-IF(DAY(A188)=Budget!$G$3,Budget!$F$3,0)</f>
        <v>0</v>
      </c>
      <c r="G188" s="17">
        <f>N("Car")-IF(DAY(A188)=Budget!$G$4,Budget!$F$4+Budget!$H$4,0)</f>
        <v>0</v>
      </c>
      <c r="H188" s="17">
        <f>N("Mom Rent")-IF(DAY(A188)=Budget!$G$5,Budget!$F$5,0)</f>
        <v>0</v>
      </c>
      <c r="I188" s="17">
        <f>N("AT&amp;T")-IF(DAY(A188)=Budget!$G$8,Budget!$F$8,0)</f>
        <v>0</v>
      </c>
      <c r="J188" s="17">
        <f>N("GA Power")-IF(DAY(A188)=Budget!$G$9,Budget!$F$9,0)</f>
        <v>0</v>
      </c>
      <c r="K188" s="17">
        <f>N("Haircut")-IF(DAY(A188)=Budget!$G$10,Budget!$F$10,0)</f>
        <v>0</v>
      </c>
      <c r="L188" s="17">
        <f>N("Groceries")-IF(DAY(A188)=Budget!$G$6,Budget!$F$6,0)</f>
        <v>0</v>
      </c>
      <c r="M188" s="17">
        <f>N("Savings")-IF(DAY(A188)=Budget!$G$7,Budget!$F$7,0)</f>
        <v>0</v>
      </c>
      <c r="N188" s="17">
        <f>N("Car Insurance")-COUNTIF(Budget!$G$14, A188)*Budget!$F$14</f>
        <v>0</v>
      </c>
      <c r="O188" s="17">
        <f>N("Phone Bill")-COUNTIF(Budget!$G$15, A188)*Budget!$F$15</f>
        <v>0</v>
      </c>
      <c r="Q188" s="17">
        <f>N("Spotify")-IF(AND(DAY($A188)=Budget!$M$3, MONTH($A188)=Budget!$L$3),Budget!$K$3,0)</f>
        <v>0</v>
      </c>
      <c r="R188" s="17">
        <f>N("Spotify")-IF(AND(DAY($A188)=Budget!$M$4, MONTH($A188)=Budget!$L$4),Budget!$K$4,0)</f>
        <v>0</v>
      </c>
      <c r="S188" s="17">
        <f>N("Spotify")-IF(AND(DAY($A188)=Budget!$M$5, MONTH($A188)=Budget!$L$5),Budget!$K$5,0)</f>
        <v>0</v>
      </c>
      <c r="T188" s="17">
        <f>N("Amazon Prime")-IF(DAY(A188)=Budget!$Q$3,Budget!$P$3,0)</f>
        <v>0</v>
      </c>
      <c r="U188" s="17">
        <f>N("Audible")-IF(DAY(A188)=Budget!$Q$12,Budget!$P$12,0)</f>
        <v>0</v>
      </c>
      <c r="V188" s="17">
        <f>N("Crunchyroll")-IF(DAY(A188)=Budget!$Q$5,Budget!$P$5,0)</f>
        <v>0</v>
      </c>
      <c r="W188" s="17">
        <f>N("HBO Max")-IF(DAY(A188)=Budget!$Q$6,Budget!$P$6,0)</f>
        <v>0</v>
      </c>
      <c r="X188" s="17">
        <f>N("Netflix")-IF(DAY(A188)=Budget!$Q$7,Budget!$P$7,0)</f>
        <v>0</v>
      </c>
      <c r="Y188" s="17">
        <f>N("Spotify")-IF(DAY(A188)=Budget!$Q$8,Budget!$P$8,0)</f>
        <v>0</v>
      </c>
      <c r="Z188" s="17">
        <f>N("Truebill")-IF(DAY(A188)=Budget!$Q$9,Budget!$P$9,0)</f>
        <v>0</v>
      </c>
      <c r="AA188" s="6">
        <f t="shared" si="20"/>
        <v>0</v>
      </c>
    </row>
    <row r="189" spans="1:27" x14ac:dyDescent="0.3">
      <c r="A189" s="4">
        <f t="shared" si="22"/>
        <v>45825</v>
      </c>
      <c r="B189" s="2">
        <f t="shared" si="21"/>
        <v>2394.86</v>
      </c>
      <c r="C189" s="7">
        <f t="shared" si="23"/>
        <v>1</v>
      </c>
      <c r="D189" s="1">
        <v>0</v>
      </c>
      <c r="E189" s="17">
        <f>N("PAY-LM")+IF(WEEKDAY(A189)=Budget!$C$3,Budget!$B$3,0)</f>
        <v>0</v>
      </c>
      <c r="F189" s="17">
        <f>N("Rent")-IF(DAY(A189)=Budget!$G$3,Budget!$F$3,0)</f>
        <v>0</v>
      </c>
      <c r="G189" s="17">
        <f>N("Car")-IF(DAY(A189)=Budget!$G$4,Budget!$F$4+Budget!$H$4,0)</f>
        <v>0</v>
      </c>
      <c r="H189" s="17">
        <f>N("Mom Rent")-IF(DAY(A189)=Budget!$G$5,Budget!$F$5,0)</f>
        <v>0</v>
      </c>
      <c r="I189" s="17">
        <f>N("AT&amp;T")-IF(DAY(A189)=Budget!$G$8,Budget!$F$8,0)</f>
        <v>0</v>
      </c>
      <c r="J189" s="17">
        <f>N("GA Power")-IF(DAY(A189)=Budget!$G$9,Budget!$F$9,0)</f>
        <v>0</v>
      </c>
      <c r="K189" s="17">
        <f>N("Haircut")-IF(DAY(A189)=Budget!$G$10,Budget!$F$10,0)</f>
        <v>0</v>
      </c>
      <c r="L189" s="17">
        <f>N("Groceries")-IF(DAY(A189)=Budget!$G$6,Budget!$F$6,0)</f>
        <v>0</v>
      </c>
      <c r="M189" s="17">
        <f>N("Savings")-IF(DAY(A189)=Budget!$G$7,Budget!$F$7,0)</f>
        <v>0</v>
      </c>
      <c r="N189" s="17">
        <f>N("Car Insurance")-COUNTIF(Budget!$G$14, A189)*Budget!$F$14</f>
        <v>0</v>
      </c>
      <c r="O189" s="17">
        <f>N("Phone Bill")-COUNTIF(Budget!$G$15, A189)*Budget!$F$15</f>
        <v>0</v>
      </c>
      <c r="Q189" s="17">
        <f>N("Spotify")-IF(AND(DAY($A189)=Budget!$M$3, MONTH($A189)=Budget!$L$3),Budget!$K$3,0)</f>
        <v>0</v>
      </c>
      <c r="R189" s="17">
        <f>N("Spotify")-IF(AND(DAY($A189)=Budget!$M$4, MONTH($A189)=Budget!$L$4),Budget!$K$4,0)</f>
        <v>0</v>
      </c>
      <c r="S189" s="17">
        <f>N("Spotify")-IF(AND(DAY($A189)=Budget!$M$5, MONTH($A189)=Budget!$L$5),Budget!$K$5,0)</f>
        <v>0</v>
      </c>
      <c r="T189" s="17">
        <f>N("Amazon Prime")-IF(DAY(A189)=Budget!$Q$3,Budget!$P$3,0)</f>
        <v>0</v>
      </c>
      <c r="U189" s="17">
        <f>N("Audible")-IF(DAY(A189)=Budget!$Q$12,Budget!$P$12,0)</f>
        <v>0</v>
      </c>
      <c r="V189" s="17">
        <f>N("Crunchyroll")-IF(DAY(A189)=Budget!$Q$5,Budget!$P$5,0)</f>
        <v>0</v>
      </c>
      <c r="W189" s="17">
        <f>N("HBO Max")-IF(DAY(A189)=Budget!$Q$6,Budget!$P$6,0)</f>
        <v>0</v>
      </c>
      <c r="X189" s="17">
        <f>N("Netflix")-IF(DAY(A189)=Budget!$Q$7,Budget!$P$7,0)</f>
        <v>0</v>
      </c>
      <c r="Y189" s="17">
        <f>N("Spotify")-IF(DAY(A189)=Budget!$Q$8,Budget!$P$8,0)</f>
        <v>0</v>
      </c>
      <c r="Z189" s="17">
        <f>N("Truebill")-IF(DAY(A189)=Budget!$Q$9,Budget!$P$9,0)</f>
        <v>0</v>
      </c>
      <c r="AA189" s="6">
        <f t="shared" si="20"/>
        <v>0</v>
      </c>
    </row>
    <row r="190" spans="1:27" x14ac:dyDescent="0.3">
      <c r="A190" s="4">
        <f t="shared" si="22"/>
        <v>45826</v>
      </c>
      <c r="B190" s="2">
        <f t="shared" si="21"/>
        <v>2329.86</v>
      </c>
      <c r="C190" s="7">
        <f t="shared" si="23"/>
        <v>0</v>
      </c>
      <c r="D190" s="1">
        <v>0</v>
      </c>
      <c r="E190" s="17">
        <f>N("PAY-LM")+IF(WEEKDAY(A190)=Budget!$C$3,Budget!$B$3,0)</f>
        <v>0</v>
      </c>
      <c r="F190" s="17">
        <f>N("Rent")-IF(DAY(A190)=Budget!$G$3,Budget!$F$3,0)</f>
        <v>0</v>
      </c>
      <c r="G190" s="17">
        <f>N("Car")-IF(DAY(A190)=Budget!$G$4,Budget!$F$4+Budget!$H$4,0)</f>
        <v>0</v>
      </c>
      <c r="H190" s="17">
        <f>N("Mom Rent")-IF(DAY(A190)=Budget!$G$5,Budget!$F$5,0)</f>
        <v>0</v>
      </c>
      <c r="I190" s="17">
        <f>N("AT&amp;T")-IF(DAY(A190)=Budget!$G$8,Budget!$F$8,0)</f>
        <v>-65</v>
      </c>
      <c r="J190" s="17">
        <f>N("GA Power")-IF(DAY(A190)=Budget!$G$9,Budget!$F$9,0)</f>
        <v>0</v>
      </c>
      <c r="K190" s="17">
        <f>N("Haircut")-IF(DAY(A190)=Budget!$G$10,Budget!$F$10,0)</f>
        <v>0</v>
      </c>
      <c r="L190" s="17">
        <f>N("Groceries")-IF(DAY(A190)=Budget!$G$6,Budget!$F$6,0)</f>
        <v>0</v>
      </c>
      <c r="M190" s="17">
        <f>N("Savings")-IF(DAY(A190)=Budget!$G$7,Budget!$F$7,0)</f>
        <v>0</v>
      </c>
      <c r="N190" s="17">
        <f>N("Car Insurance")-COUNTIF(Budget!$G$14, A190)*Budget!$F$14</f>
        <v>0</v>
      </c>
      <c r="O190" s="17">
        <f>N("Phone Bill")-COUNTIF(Budget!$G$15, A190)*Budget!$F$15</f>
        <v>0</v>
      </c>
      <c r="Q190" s="17">
        <f>N("Spotify")-IF(AND(DAY($A190)=Budget!$M$3, MONTH($A190)=Budget!$L$3),Budget!$K$3,0)</f>
        <v>0</v>
      </c>
      <c r="R190" s="17">
        <f>N("Spotify")-IF(AND(DAY($A190)=Budget!$M$4, MONTH($A190)=Budget!$L$4),Budget!$K$4,0)</f>
        <v>0</v>
      </c>
      <c r="S190" s="17">
        <f>N("Spotify")-IF(AND(DAY($A190)=Budget!$M$5, MONTH($A190)=Budget!$L$5),Budget!$K$5,0)</f>
        <v>0</v>
      </c>
      <c r="T190" s="17">
        <f>N("Amazon Prime")-IF(DAY(A190)=Budget!$Q$3,Budget!$P$3,0)</f>
        <v>0</v>
      </c>
      <c r="U190" s="17">
        <f>N("Audible")-IF(DAY(A190)=Budget!$Q$12,Budget!$P$12,0)</f>
        <v>0</v>
      </c>
      <c r="V190" s="17">
        <f>N("Crunchyroll")-IF(DAY(A190)=Budget!$Q$5,Budget!$P$5,0)</f>
        <v>0</v>
      </c>
      <c r="W190" s="17">
        <f>N("HBO Max")-IF(DAY(A190)=Budget!$Q$6,Budget!$P$6,0)</f>
        <v>0</v>
      </c>
      <c r="X190" s="17">
        <f>N("Netflix")-IF(DAY(A190)=Budget!$Q$7,Budget!$P$7,0)</f>
        <v>0</v>
      </c>
      <c r="Y190" s="17">
        <f>N("Spotify")-IF(DAY(A190)=Budget!$Q$8,Budget!$P$8,0)</f>
        <v>0</v>
      </c>
      <c r="Z190" s="17">
        <f>N("Truebill")-IF(DAY(A190)=Budget!$Q$9,Budget!$P$9,0)</f>
        <v>0</v>
      </c>
      <c r="AA190" s="6">
        <f t="shared" si="20"/>
        <v>-65</v>
      </c>
    </row>
    <row r="191" spans="1:27" x14ac:dyDescent="0.3">
      <c r="A191" s="4">
        <f t="shared" si="22"/>
        <v>45827</v>
      </c>
      <c r="B191" s="2">
        <f t="shared" si="21"/>
        <v>2329.86</v>
      </c>
      <c r="C191" s="7">
        <f t="shared" si="23"/>
        <v>1</v>
      </c>
      <c r="D191" s="1">
        <v>0</v>
      </c>
      <c r="E191" s="17">
        <f>N("PAY-LM")+IF(WEEKDAY(A191)=Budget!$C$3,Budget!$B$3,0)</f>
        <v>0</v>
      </c>
      <c r="F191" s="17">
        <f>N("Rent")-IF(DAY(A191)=Budget!$G$3,Budget!$F$3,0)</f>
        <v>0</v>
      </c>
      <c r="G191" s="17">
        <f>N("Car")-IF(DAY(A191)=Budget!$G$4,Budget!$F$4+Budget!$H$4,0)</f>
        <v>0</v>
      </c>
      <c r="H191" s="17">
        <f>N("Mom Rent")-IF(DAY(A191)=Budget!$G$5,Budget!$F$5,0)</f>
        <v>0</v>
      </c>
      <c r="I191" s="17">
        <f>N("AT&amp;T")-IF(DAY(A191)=Budget!$G$8,Budget!$F$8,0)</f>
        <v>0</v>
      </c>
      <c r="J191" s="17">
        <f>N("GA Power")-IF(DAY(A191)=Budget!$G$9,Budget!$F$9,0)</f>
        <v>0</v>
      </c>
      <c r="K191" s="17">
        <f>N("Haircut")-IF(DAY(A191)=Budget!$G$10,Budget!$F$10,0)</f>
        <v>0</v>
      </c>
      <c r="L191" s="17">
        <f>N("Groceries")-IF(DAY(A191)=Budget!$G$6,Budget!$F$6,0)</f>
        <v>0</v>
      </c>
      <c r="M191" s="17">
        <f>N("Savings")-IF(DAY(A191)=Budget!$G$7,Budget!$F$7,0)</f>
        <v>0</v>
      </c>
      <c r="N191" s="17">
        <f>N("Car Insurance")-COUNTIF(Budget!$G$14, A191)*Budget!$F$14</f>
        <v>0</v>
      </c>
      <c r="O191" s="17">
        <f>N("Phone Bill")-COUNTIF(Budget!$G$15, A191)*Budget!$F$15</f>
        <v>0</v>
      </c>
      <c r="Q191" s="17">
        <f>N("Spotify")-IF(AND(DAY($A191)=Budget!$M$3, MONTH($A191)=Budget!$L$3),Budget!$K$3,0)</f>
        <v>0</v>
      </c>
      <c r="R191" s="17">
        <f>N("Spotify")-IF(AND(DAY($A191)=Budget!$M$4, MONTH($A191)=Budget!$L$4),Budget!$K$4,0)</f>
        <v>0</v>
      </c>
      <c r="S191" s="17">
        <f>N("Spotify")-IF(AND(DAY($A191)=Budget!$M$5, MONTH($A191)=Budget!$L$5),Budget!$K$5,0)</f>
        <v>0</v>
      </c>
      <c r="T191" s="17">
        <f>N("Amazon Prime")-IF(DAY(A191)=Budget!$Q$3,Budget!$P$3,0)</f>
        <v>0</v>
      </c>
      <c r="U191" s="17">
        <f>N("Audible")-IF(DAY(A191)=Budget!$Q$12,Budget!$P$12,0)</f>
        <v>0</v>
      </c>
      <c r="V191" s="17">
        <f>N("Crunchyroll")-IF(DAY(A191)=Budget!$Q$5,Budget!$P$5,0)</f>
        <v>0</v>
      </c>
      <c r="W191" s="17">
        <f>N("HBO Max")-IF(DAY(A191)=Budget!$Q$6,Budget!$P$6,0)</f>
        <v>0</v>
      </c>
      <c r="X191" s="17">
        <f>N("Netflix")-IF(DAY(A191)=Budget!$Q$7,Budget!$P$7,0)</f>
        <v>0</v>
      </c>
      <c r="Y191" s="17">
        <f>N("Spotify")-IF(DAY(A191)=Budget!$Q$8,Budget!$P$8,0)</f>
        <v>0</v>
      </c>
      <c r="Z191" s="17">
        <f>N("Truebill")-IF(DAY(A191)=Budget!$Q$9,Budget!$P$9,0)</f>
        <v>0</v>
      </c>
      <c r="AA191" s="6">
        <f t="shared" si="20"/>
        <v>0</v>
      </c>
    </row>
    <row r="192" spans="1:27" x14ac:dyDescent="0.3">
      <c r="A192" s="4">
        <f t="shared" si="22"/>
        <v>45828</v>
      </c>
      <c r="B192" s="2">
        <f t="shared" si="21"/>
        <v>2932.86</v>
      </c>
      <c r="C192" s="7">
        <f t="shared" si="23"/>
        <v>2</v>
      </c>
      <c r="D192" s="1">
        <v>0</v>
      </c>
      <c r="E192" s="17">
        <f>N("PAY-LM")+IF(WEEKDAY(A192)=Budget!$C$3,Budget!$B$3,0)</f>
        <v>1453</v>
      </c>
      <c r="F192" s="17">
        <f>N("Rent")-IF(DAY(A192)=Budget!$G$3,Budget!$F$3,0)</f>
        <v>0</v>
      </c>
      <c r="G192" s="17">
        <f>N("Car")-IF(DAY(A192)=Budget!$G$4,Budget!$F$4+Budget!$H$4,0)</f>
        <v>0</v>
      </c>
      <c r="H192" s="17">
        <f>N("Mom Rent")-IF(DAY(A192)=Budget!$G$5,Budget!$F$5,0)</f>
        <v>-850</v>
      </c>
      <c r="I192" s="17">
        <f>N("AT&amp;T")-IF(DAY(A192)=Budget!$G$8,Budget!$F$8,0)</f>
        <v>0</v>
      </c>
      <c r="J192" s="17">
        <f>N("GA Power")-IF(DAY(A192)=Budget!$G$9,Budget!$F$9,0)</f>
        <v>0</v>
      </c>
      <c r="K192" s="17">
        <f>N("Haircut")-IF(DAY(A192)=Budget!$G$10,Budget!$F$10,0)</f>
        <v>0</v>
      </c>
      <c r="L192" s="17">
        <f>N("Groceries")-IF(DAY(A192)=Budget!$G$6,Budget!$F$6,0)</f>
        <v>0</v>
      </c>
      <c r="M192" s="17">
        <f>N("Savings")-IF(DAY(A192)=Budget!$G$7,Budget!$F$7,0)</f>
        <v>0</v>
      </c>
      <c r="N192" s="17">
        <f>N("Car Insurance")-COUNTIF(Budget!$G$14, A192)*Budget!$F$14</f>
        <v>0</v>
      </c>
      <c r="O192" s="17">
        <f>N("Phone Bill")-COUNTIF(Budget!$G$15, A192)*Budget!$F$15</f>
        <v>0</v>
      </c>
      <c r="Q192" s="17">
        <f>N("Spotify")-IF(AND(DAY($A192)=Budget!$M$3, MONTH($A192)=Budget!$L$3),Budget!$K$3,0)</f>
        <v>0</v>
      </c>
      <c r="R192" s="17">
        <f>N("Spotify")-IF(AND(DAY($A192)=Budget!$M$4, MONTH($A192)=Budget!$L$4),Budget!$K$4,0)</f>
        <v>0</v>
      </c>
      <c r="S192" s="17">
        <f>N("Spotify")-IF(AND(DAY($A192)=Budget!$M$5, MONTH($A192)=Budget!$L$5),Budget!$K$5,0)</f>
        <v>0</v>
      </c>
      <c r="T192" s="17">
        <f>N("Amazon Prime")-IF(DAY(A192)=Budget!$Q$3,Budget!$P$3,0)</f>
        <v>0</v>
      </c>
      <c r="U192" s="17">
        <f>N("Audible")-IF(DAY(A192)=Budget!$Q$12,Budget!$P$12,0)</f>
        <v>0</v>
      </c>
      <c r="V192" s="17">
        <f>N("Crunchyroll")-IF(DAY(A192)=Budget!$Q$5,Budget!$P$5,0)</f>
        <v>0</v>
      </c>
      <c r="W192" s="17">
        <f>N("HBO Max")-IF(DAY(A192)=Budget!$Q$6,Budget!$P$6,0)</f>
        <v>0</v>
      </c>
      <c r="X192" s="17">
        <f>N("Netflix")-IF(DAY(A192)=Budget!$Q$7,Budget!$P$7,0)</f>
        <v>0</v>
      </c>
      <c r="Y192" s="17">
        <f>N("Spotify")-IF(DAY(A192)=Budget!$Q$8,Budget!$P$8,0)</f>
        <v>0</v>
      </c>
      <c r="Z192" s="17">
        <f>N("Truebill")-IF(DAY(A192)=Budget!$Q$9,Budget!$P$9,0)</f>
        <v>0</v>
      </c>
      <c r="AA192" s="6">
        <f t="shared" si="20"/>
        <v>603</v>
      </c>
    </row>
    <row r="193" spans="1:30" x14ac:dyDescent="0.3">
      <c r="A193" s="4">
        <f t="shared" si="22"/>
        <v>45829</v>
      </c>
      <c r="B193" s="2">
        <v>3039.36</v>
      </c>
      <c r="C193" s="7">
        <f t="shared" si="23"/>
        <v>2</v>
      </c>
      <c r="D193" s="1">
        <v>0</v>
      </c>
      <c r="E193" s="17">
        <f>N("PAY-LM")+IF(WEEKDAY(A193)=Budget!$C$3,Budget!$B$3,0)</f>
        <v>0</v>
      </c>
      <c r="F193" s="17">
        <f>N("Rent")-IF(DAY(A193)=Budget!$G$3,Budget!$F$3,0)</f>
        <v>0</v>
      </c>
      <c r="G193" s="17">
        <f>N("Car")-IF(DAY(A193)=Budget!$G$4,Budget!$F$4+Budget!$H$4,0)</f>
        <v>0</v>
      </c>
      <c r="H193" s="17">
        <f>N("Mom Rent")-IF(DAY(A193)=Budget!$G$5,Budget!$F$5,0)</f>
        <v>0</v>
      </c>
      <c r="I193" s="17">
        <f>N("AT&amp;T")-IF(DAY(A193)=Budget!$G$8,Budget!$F$8,0)</f>
        <v>0</v>
      </c>
      <c r="J193" s="17">
        <f>N("GA Power")-IF(DAY(A193)=Budget!$G$9,Budget!$F$9,0)</f>
        <v>0</v>
      </c>
      <c r="K193" s="17">
        <f>N("Haircut")-IF(DAY(A193)=Budget!$G$10,Budget!$F$10,0)</f>
        <v>0</v>
      </c>
      <c r="L193" s="17">
        <f>N("Groceries")-IF(DAY(A193)=Budget!$G$6,Budget!$F$6,0)</f>
        <v>0</v>
      </c>
      <c r="M193" s="17">
        <f>N("Savings")-IF(DAY(A193)=Budget!$G$7,Budget!$F$7,0)</f>
        <v>0</v>
      </c>
      <c r="N193" s="17">
        <f>N("Car Insurance")-COUNTIF(Budget!$G$14, A193)*Budget!$F$14</f>
        <v>0</v>
      </c>
      <c r="O193" s="17">
        <f>N("Phone Bill")-COUNTIF(Budget!$G$15, A193)*Budget!$F$15</f>
        <v>0</v>
      </c>
      <c r="Q193" s="17">
        <f>N("Spotify")-IF(AND(DAY($A193)=Budget!$M$3, MONTH($A193)=Budget!$L$3),Budget!$K$3,0)</f>
        <v>0</v>
      </c>
      <c r="R193" s="17">
        <f>N("Spotify")-IF(AND(DAY($A193)=Budget!$M$4, MONTH($A193)=Budget!$L$4),Budget!$K$4,0)</f>
        <v>0</v>
      </c>
      <c r="S193" s="17">
        <f>N("Spotify")-IF(AND(DAY($A193)=Budget!$M$5, MONTH($A193)=Budget!$L$5),Budget!$K$5,0)</f>
        <v>0</v>
      </c>
      <c r="T193" s="17">
        <f>N("Amazon Prime")-IF(DAY(A193)=Budget!$Q$3,Budget!$P$3,0)</f>
        <v>0</v>
      </c>
      <c r="U193" s="17">
        <f>N("Audible")-IF(DAY(A193)=Budget!$Q$12,Budget!$P$12,0)</f>
        <v>0</v>
      </c>
      <c r="V193" s="17">
        <f>N("Crunchyroll")-IF(DAY(A193)=Budget!$Q$5,Budget!$P$5,0)</f>
        <v>0</v>
      </c>
      <c r="W193" s="17">
        <f>N("HBO Max")-IF(DAY(A193)=Budget!$Q$6,Budget!$P$6,0)</f>
        <v>0</v>
      </c>
      <c r="X193" s="17">
        <f>N("Netflix")-IF(DAY(A193)=Budget!$Q$7,Budget!$P$7,0)</f>
        <v>0</v>
      </c>
      <c r="Y193" s="17">
        <f>N("Spotify")-IF(DAY(A193)=Budget!$Q$8,Budget!$P$8,0)</f>
        <v>0</v>
      </c>
      <c r="Z193" s="17">
        <f>N("Truebill")-IF(DAY(A193)=Budget!$Q$9,Budget!$P$9,0)</f>
        <v>0</v>
      </c>
      <c r="AA193" s="6">
        <f t="shared" si="20"/>
        <v>0</v>
      </c>
    </row>
    <row r="194" spans="1:30" x14ac:dyDescent="0.3">
      <c r="A194" s="4">
        <f t="shared" si="22"/>
        <v>45830</v>
      </c>
      <c r="B194" s="2">
        <f t="shared" si="21"/>
        <v>2567.36</v>
      </c>
      <c r="C194" s="7">
        <f t="shared" si="23"/>
        <v>0</v>
      </c>
      <c r="D194" s="1">
        <f>-337-135</f>
        <v>-472</v>
      </c>
      <c r="E194" s="17">
        <f>N("PAY-LM")+IF(WEEKDAY(A194)=Budget!$C$3,Budget!$B$3,0)</f>
        <v>0</v>
      </c>
      <c r="F194" s="17">
        <f>N("Rent")-IF(DAY(A194)=Budget!$G$3,Budget!$F$3,0)</f>
        <v>0</v>
      </c>
      <c r="G194" s="17">
        <f>N("Car")-IF(DAY(A194)=Budget!$G$4,Budget!$F$4+Budget!$H$4,0)</f>
        <v>0</v>
      </c>
      <c r="H194" s="17">
        <f>N("Mom Rent")-IF(DAY(A194)=Budget!$G$5,Budget!$F$5,0)</f>
        <v>0</v>
      </c>
      <c r="I194" s="17">
        <f>N("AT&amp;T")-IF(DAY(A194)=Budget!$G$8,Budget!$F$8,0)</f>
        <v>0</v>
      </c>
      <c r="J194" s="17">
        <f>N("GA Power")-IF(DAY(A194)=Budget!$G$9,Budget!$F$9,0)</f>
        <v>0</v>
      </c>
      <c r="K194" s="17">
        <f>N("Haircut")-IF(DAY(A194)=Budget!$G$10,Budget!$F$10,0)</f>
        <v>0</v>
      </c>
      <c r="L194" s="17">
        <f>N("Groceries")-IF(DAY(A194)=Budget!$G$6,Budget!$F$6,0)</f>
        <v>0</v>
      </c>
      <c r="M194" s="17">
        <f>N("Savings")-IF(DAY(A194)=Budget!$G$7,Budget!$F$7,0)</f>
        <v>0</v>
      </c>
      <c r="N194" s="17">
        <f>N("Car Insurance")-COUNTIF(Budget!$G$14, A194)*Budget!$F$14</f>
        <v>0</v>
      </c>
      <c r="O194" s="17">
        <f>N("Phone Bill")-COUNTIF(Budget!$G$15, A194)*Budget!$F$15</f>
        <v>0</v>
      </c>
      <c r="Q194" s="17">
        <f>N("Spotify")-IF(AND(DAY($A194)=Budget!$M$3, MONTH($A194)=Budget!$L$3),Budget!$K$3,0)</f>
        <v>0</v>
      </c>
      <c r="R194" s="17">
        <f>N("Spotify")-IF(AND(DAY($A194)=Budget!$M$4, MONTH($A194)=Budget!$L$4),Budget!$K$4,0)</f>
        <v>0</v>
      </c>
      <c r="S194" s="17">
        <f>N("Spotify")-IF(AND(DAY($A194)=Budget!$M$5, MONTH($A194)=Budget!$L$5),Budget!$K$5,0)</f>
        <v>0</v>
      </c>
      <c r="T194" s="17">
        <f>N("Amazon Prime")-IF(DAY(A194)=Budget!$Q$3,Budget!$P$3,0)</f>
        <v>0</v>
      </c>
      <c r="U194" s="17">
        <f>N("Audible")-IF(DAY(A194)=Budget!$Q$12,Budget!$P$12,0)</f>
        <v>0</v>
      </c>
      <c r="V194" s="17">
        <f>N("Crunchyroll")-IF(DAY(A194)=Budget!$Q$5,Budget!$P$5,0)</f>
        <v>0</v>
      </c>
      <c r="W194" s="17">
        <f>N("HBO Max")-IF(DAY(A194)=Budget!$Q$6,Budget!$P$6,0)</f>
        <v>0</v>
      </c>
      <c r="X194" s="17">
        <f>N("Netflix")-IF(DAY(A194)=Budget!$Q$7,Budget!$P$7,0)</f>
        <v>0</v>
      </c>
      <c r="Y194" s="17">
        <f>N("Spotify")-IF(DAY(A194)=Budget!$Q$8,Budget!$P$8,0)</f>
        <v>0</v>
      </c>
      <c r="Z194" s="17">
        <f>N("Truebill")-IF(DAY(A194)=Budget!$Q$9,Budget!$P$9,0)</f>
        <v>0</v>
      </c>
      <c r="AA194" s="6">
        <f t="shared" si="20"/>
        <v>-472</v>
      </c>
    </row>
    <row r="195" spans="1:30" x14ac:dyDescent="0.3">
      <c r="A195" s="4">
        <f t="shared" si="22"/>
        <v>45831</v>
      </c>
      <c r="B195" s="2">
        <f t="shared" si="21"/>
        <v>2567.36</v>
      </c>
      <c r="C195" s="7">
        <f t="shared" si="23"/>
        <v>1</v>
      </c>
      <c r="D195" s="1">
        <v>0</v>
      </c>
      <c r="E195" s="17">
        <f>N("PAY-LM")+IF(WEEKDAY(A195)=Budget!$C$3,Budget!$B$3,0)</f>
        <v>0</v>
      </c>
      <c r="F195" s="17">
        <f>N("Rent")-IF(DAY(A195)=Budget!$G$3,Budget!$F$3,0)</f>
        <v>0</v>
      </c>
      <c r="G195" s="17">
        <f>N("Car")-IF(DAY(A195)=Budget!$G$4,Budget!$F$4+Budget!$H$4,0)</f>
        <v>0</v>
      </c>
      <c r="H195" s="17">
        <f>N("Mom Rent")-IF(DAY(A195)=Budget!$G$5,Budget!$F$5,0)</f>
        <v>0</v>
      </c>
      <c r="I195" s="17">
        <f>N("AT&amp;T")-IF(DAY(A195)=Budget!$G$8,Budget!$F$8,0)</f>
        <v>0</v>
      </c>
      <c r="J195" s="17">
        <f>N("GA Power")-IF(DAY(A195)=Budget!$G$9,Budget!$F$9,0)</f>
        <v>0</v>
      </c>
      <c r="K195" s="17">
        <f>N("Haircut")-IF(DAY(A195)=Budget!$G$10,Budget!$F$10,0)</f>
        <v>0</v>
      </c>
      <c r="L195" s="17">
        <f>N("Groceries")-IF(DAY(A195)=Budget!$G$6,Budget!$F$6,0)</f>
        <v>0</v>
      </c>
      <c r="M195" s="17">
        <f>N("Savings")-IF(DAY(A195)=Budget!$G$7,Budget!$F$7,0)</f>
        <v>0</v>
      </c>
      <c r="N195" s="17">
        <f>N("Car Insurance")-COUNTIF(Budget!$G$14, A195)*Budget!$F$14</f>
        <v>0</v>
      </c>
      <c r="O195" s="17">
        <f>N("Phone Bill")-COUNTIF(Budget!$G$15, A195)*Budget!$F$15</f>
        <v>0</v>
      </c>
      <c r="Q195" s="17">
        <f>N("Spotify")-IF(AND(DAY($A195)=Budget!$M$3, MONTH($A195)=Budget!$L$3),Budget!$K$3,0)</f>
        <v>0</v>
      </c>
      <c r="R195" s="17">
        <f>N("Spotify")-IF(AND(DAY($A195)=Budget!$M$4, MONTH($A195)=Budget!$L$4),Budget!$K$4,0)</f>
        <v>0</v>
      </c>
      <c r="S195" s="17">
        <f>N("Spotify")-IF(AND(DAY($A195)=Budget!$M$5, MONTH($A195)=Budget!$L$5),Budget!$K$5,0)</f>
        <v>0</v>
      </c>
      <c r="T195" s="17">
        <f>N("Amazon Prime")-IF(DAY(A195)=Budget!$Q$3,Budget!$P$3,0)</f>
        <v>0</v>
      </c>
      <c r="U195" s="17">
        <f>N("Audible")-IF(DAY(A195)=Budget!$Q$12,Budget!$P$12,0)</f>
        <v>0</v>
      </c>
      <c r="V195" s="17">
        <f>N("Crunchyroll")-IF(DAY(A195)=Budget!$Q$5,Budget!$P$5,0)</f>
        <v>0</v>
      </c>
      <c r="W195" s="17">
        <f>N("HBO Max")-IF(DAY(A195)=Budget!$Q$6,Budget!$P$6,0)</f>
        <v>0</v>
      </c>
      <c r="X195" s="17">
        <f>N("Netflix")-IF(DAY(A195)=Budget!$Q$7,Budget!$P$7,0)</f>
        <v>0</v>
      </c>
      <c r="Y195" s="17">
        <f>N("Spotify")-IF(DAY(A195)=Budget!$Q$8,Budget!$P$8,0)</f>
        <v>0</v>
      </c>
      <c r="Z195" s="17">
        <f>N("Truebill")-IF(DAY(A195)=Budget!$Q$9,Budget!$P$9,0)</f>
        <v>0</v>
      </c>
      <c r="AA195" s="6">
        <f t="shared" si="20"/>
        <v>0</v>
      </c>
    </row>
    <row r="196" spans="1:30" x14ac:dyDescent="0.3">
      <c r="A196" s="4">
        <f t="shared" si="22"/>
        <v>45832</v>
      </c>
      <c r="B196" s="2">
        <f t="shared" si="21"/>
        <v>2567.36</v>
      </c>
      <c r="C196" s="7">
        <f t="shared" si="23"/>
        <v>1</v>
      </c>
      <c r="D196" s="1">
        <v>0</v>
      </c>
      <c r="E196" s="17">
        <f>N("PAY-LM")+IF(WEEKDAY(A196)=Budget!$C$3,Budget!$B$3,0)</f>
        <v>0</v>
      </c>
      <c r="F196" s="17">
        <f>N("Rent")-IF(DAY(A196)=Budget!$G$3,Budget!$F$3,0)</f>
        <v>0</v>
      </c>
      <c r="G196" s="17">
        <f>N("Car")-IF(DAY(A196)=Budget!$G$4,Budget!$F$4+Budget!$H$4,0)</f>
        <v>0</v>
      </c>
      <c r="H196" s="17">
        <f>N("Mom Rent")-IF(DAY(A196)=Budget!$G$5,Budget!$F$5,0)</f>
        <v>0</v>
      </c>
      <c r="I196" s="17">
        <f>N("AT&amp;T")-IF(DAY(A196)=Budget!$G$8,Budget!$F$8,0)</f>
        <v>0</v>
      </c>
      <c r="J196" s="17">
        <f>N("GA Power")-IF(DAY(A196)=Budget!$G$9,Budget!$F$9,0)</f>
        <v>0</v>
      </c>
      <c r="K196" s="17">
        <f>N("Haircut")-IF(DAY(A196)=Budget!$G$10,Budget!$F$10,0)</f>
        <v>0</v>
      </c>
      <c r="L196" s="17">
        <f>N("Groceries")-IF(DAY(A196)=Budget!$G$6,Budget!$F$6,0)</f>
        <v>0</v>
      </c>
      <c r="M196" s="17">
        <f>N("Savings")-IF(DAY(A196)=Budget!$G$7,Budget!$F$7,0)</f>
        <v>0</v>
      </c>
      <c r="N196" s="17">
        <f>N("Car Insurance")-COUNTIF(Budget!$G$14, A196)*Budget!$F$14</f>
        <v>0</v>
      </c>
      <c r="O196" s="17">
        <f>N("Phone Bill")-COUNTIF(Budget!$G$15, A196)*Budget!$F$15</f>
        <v>0</v>
      </c>
      <c r="Q196" s="17">
        <f>N("Spotify")-IF(AND(DAY($A196)=Budget!$M$3, MONTH($A196)=Budget!$L$3),Budget!$K$3,0)</f>
        <v>0</v>
      </c>
      <c r="R196" s="17">
        <f>N("Spotify")-IF(AND(DAY($A196)=Budget!$M$4, MONTH($A196)=Budget!$L$4),Budget!$K$4,0)</f>
        <v>0</v>
      </c>
      <c r="S196" s="17">
        <f>N("Spotify")-IF(AND(DAY($A196)=Budget!$M$5, MONTH($A196)=Budget!$L$5),Budget!$K$5,0)</f>
        <v>0</v>
      </c>
      <c r="T196" s="17">
        <f>N("Amazon Prime")-IF(DAY(A196)=Budget!$Q$3,Budget!$P$3,0)</f>
        <v>0</v>
      </c>
      <c r="U196" s="17">
        <f>N("Audible")-IF(DAY(A196)=Budget!$Q$12,Budget!$P$12,0)</f>
        <v>0</v>
      </c>
      <c r="V196" s="17">
        <f>N("Crunchyroll")-IF(DAY(A196)=Budget!$Q$5,Budget!$P$5,0)</f>
        <v>0</v>
      </c>
      <c r="W196" s="17">
        <f>N("HBO Max")-IF(DAY(A196)=Budget!$Q$6,Budget!$P$6,0)</f>
        <v>0</v>
      </c>
      <c r="X196" s="17">
        <f>N("Netflix")-IF(DAY(A196)=Budget!$Q$7,Budget!$P$7,0)</f>
        <v>0</v>
      </c>
      <c r="Y196" s="17">
        <f>N("Spotify")-IF(DAY(A196)=Budget!$Q$8,Budget!$P$8,0)</f>
        <v>0</v>
      </c>
      <c r="Z196" s="17">
        <f>N("Truebill")-IF(DAY(A196)=Budget!$Q$9,Budget!$P$9,0)</f>
        <v>0</v>
      </c>
      <c r="AA196" s="6">
        <f t="shared" si="20"/>
        <v>0</v>
      </c>
    </row>
    <row r="197" spans="1:30" x14ac:dyDescent="0.3">
      <c r="A197" s="4">
        <f t="shared" si="22"/>
        <v>45833</v>
      </c>
      <c r="B197" s="2">
        <f t="shared" si="21"/>
        <v>2567.36</v>
      </c>
      <c r="C197" s="7">
        <f t="shared" si="23"/>
        <v>1</v>
      </c>
      <c r="D197" s="1">
        <v>0</v>
      </c>
      <c r="E197" s="17">
        <f>N("PAY-LM")+IF(WEEKDAY(A197)=Budget!$C$3,Budget!$B$3,0)</f>
        <v>0</v>
      </c>
      <c r="F197" s="17">
        <f>N("Rent")-IF(DAY(A197)=Budget!$G$3,Budget!$F$3,0)</f>
        <v>0</v>
      </c>
      <c r="G197" s="17">
        <f>N("Car")-IF(DAY(A197)=Budget!$G$4,Budget!$F$4+Budget!$H$4,0)</f>
        <v>0</v>
      </c>
      <c r="H197" s="17">
        <f>N("Mom Rent")-IF(DAY(A197)=Budget!$G$5,Budget!$F$5,0)</f>
        <v>0</v>
      </c>
      <c r="I197" s="17">
        <f>N("AT&amp;T")-IF(DAY(A197)=Budget!$G$8,Budget!$F$8,0)</f>
        <v>0</v>
      </c>
      <c r="J197" s="17">
        <f>N("GA Power")-IF(DAY(A197)=Budget!$G$9,Budget!$F$9,0)</f>
        <v>0</v>
      </c>
      <c r="K197" s="17">
        <f>N("Haircut")-IF(DAY(A197)=Budget!$G$10,Budget!$F$10,0)</f>
        <v>0</v>
      </c>
      <c r="L197" s="17">
        <f>N("Groceries")-IF(DAY(A197)=Budget!$G$6,Budget!$F$6,0)</f>
        <v>0</v>
      </c>
      <c r="M197" s="17">
        <f>N("Savings")-IF(DAY(A197)=Budget!$G$7,Budget!$F$7,0)</f>
        <v>0</v>
      </c>
      <c r="N197" s="17">
        <f>N("Car Insurance")-COUNTIF(Budget!$G$14, A197)*Budget!$F$14</f>
        <v>0</v>
      </c>
      <c r="O197" s="17">
        <f>N("Phone Bill")-COUNTIF(Budget!$G$15, A197)*Budget!$F$15</f>
        <v>0</v>
      </c>
      <c r="Q197" s="17">
        <f>N("Spotify")-IF(AND(DAY($A197)=Budget!$M$3, MONTH($A197)=Budget!$L$3),Budget!$K$3,0)</f>
        <v>0</v>
      </c>
      <c r="R197" s="17">
        <f>N("Spotify")-IF(AND(DAY($A197)=Budget!$M$4, MONTH($A197)=Budget!$L$4),Budget!$K$4,0)</f>
        <v>0</v>
      </c>
      <c r="S197" s="17">
        <f>N("Spotify")-IF(AND(DAY($A197)=Budget!$M$5, MONTH($A197)=Budget!$L$5),Budget!$K$5,0)</f>
        <v>0</v>
      </c>
      <c r="T197" s="17">
        <f>N("Amazon Prime")-IF(DAY(A197)=Budget!$Q$3,Budget!$P$3,0)</f>
        <v>0</v>
      </c>
      <c r="U197" s="17">
        <f>N("Audible")-IF(DAY(A197)=Budget!$Q$12,Budget!$P$12,0)</f>
        <v>0</v>
      </c>
      <c r="V197" s="17">
        <f>N("Crunchyroll")-IF(DAY(A197)=Budget!$Q$5,Budget!$P$5,0)</f>
        <v>0</v>
      </c>
      <c r="W197" s="17">
        <f>N("HBO Max")-IF(DAY(A197)=Budget!$Q$6,Budget!$P$6,0)</f>
        <v>0</v>
      </c>
      <c r="X197" s="17">
        <f>N("Netflix")-IF(DAY(A197)=Budget!$Q$7,Budget!$P$7,0)</f>
        <v>0</v>
      </c>
      <c r="Y197" s="17">
        <f>N("Spotify")-IF(DAY(A197)=Budget!$Q$8,Budget!$P$8,0)</f>
        <v>0</v>
      </c>
      <c r="Z197" s="17">
        <f>N("Truebill")-IF(DAY(A197)=Budget!$Q$9,Budget!$P$9,0)</f>
        <v>0</v>
      </c>
      <c r="AA197" s="6">
        <f t="shared" si="20"/>
        <v>0</v>
      </c>
    </row>
    <row r="198" spans="1:30" x14ac:dyDescent="0.3">
      <c r="A198" s="4">
        <f t="shared" si="22"/>
        <v>45834</v>
      </c>
      <c r="B198" s="2">
        <f t="shared" si="21"/>
        <v>2167.36</v>
      </c>
      <c r="C198" s="7">
        <f t="shared" si="23"/>
        <v>0</v>
      </c>
      <c r="D198" s="1">
        <v>0</v>
      </c>
      <c r="E198" s="17">
        <f>N("PAY-LM")+IF(WEEKDAY(A198)=Budget!$C$3,Budget!$B$3,0)</f>
        <v>0</v>
      </c>
      <c r="F198" s="17">
        <f>N("Rent")-IF(DAY(A198)=Budget!$G$3,Budget!$F$3,0)</f>
        <v>0</v>
      </c>
      <c r="G198" s="17">
        <f>N("Car")-IF(DAY(A198)=Budget!$G$4,Budget!$F$4+Budget!$H$4,0)</f>
        <v>0</v>
      </c>
      <c r="H198" s="17">
        <f>N("Mom Rent")-IF(DAY(A198)=Budget!$G$5,Budget!$F$5,0)</f>
        <v>0</v>
      </c>
      <c r="I198" s="17">
        <f>N("AT&amp;T")-IF(DAY(A198)=Budget!$G$8,Budget!$F$8,0)</f>
        <v>0</v>
      </c>
      <c r="J198" s="17">
        <f>N("GA Power")-IF(DAY(A198)=Budget!$G$9,Budget!$F$9,0)</f>
        <v>0</v>
      </c>
      <c r="K198" s="17">
        <f>N("Haircut")-IF(DAY(A198)=Budget!$G$10,Budget!$F$10,0)</f>
        <v>-400</v>
      </c>
      <c r="L198" s="17">
        <f>N("Groceries")-IF(DAY(A198)=Budget!$G$6,Budget!$F$6,0)</f>
        <v>0</v>
      </c>
      <c r="M198" s="17">
        <f>N("Savings")-IF(DAY(A198)=Budget!$G$7,Budget!$F$7,0)</f>
        <v>0</v>
      </c>
      <c r="N198" s="17">
        <f>N("Car Insurance")-COUNTIF(Budget!$G$14, A198)*Budget!$F$14</f>
        <v>0</v>
      </c>
      <c r="O198" s="17">
        <f>N("Phone Bill")-COUNTIF(Budget!$G$15, A198)*Budget!$F$15</f>
        <v>0</v>
      </c>
      <c r="Q198" s="17">
        <f>N("Spotify")-IF(AND(DAY($A198)=Budget!$M$3, MONTH($A198)=Budget!$L$3),Budget!$K$3,0)</f>
        <v>0</v>
      </c>
      <c r="R198" s="17">
        <f>N("Spotify")-IF(AND(DAY($A198)=Budget!$M$4, MONTH($A198)=Budget!$L$4),Budget!$K$4,0)</f>
        <v>0</v>
      </c>
      <c r="S198" s="17">
        <f>N("Spotify")-IF(AND(DAY($A198)=Budget!$M$5, MONTH($A198)=Budget!$L$5),Budget!$K$5,0)</f>
        <v>0</v>
      </c>
      <c r="T198" s="17">
        <f>N("Amazon Prime")-IF(DAY(A198)=Budget!$Q$3,Budget!$P$3,0)</f>
        <v>0</v>
      </c>
      <c r="U198" s="17">
        <f>N("Audible")-IF(DAY(A198)=Budget!$Q$12,Budget!$P$12,0)</f>
        <v>0</v>
      </c>
      <c r="V198" s="17">
        <f>N("Crunchyroll")-IF(DAY(A198)=Budget!$Q$5,Budget!$P$5,0)</f>
        <v>0</v>
      </c>
      <c r="W198" s="17">
        <f>N("HBO Max")-IF(DAY(A198)=Budget!$Q$6,Budget!$P$6,0)</f>
        <v>0</v>
      </c>
      <c r="X198" s="17">
        <f>N("Netflix")-IF(DAY(A198)=Budget!$Q$7,Budget!$P$7,0)</f>
        <v>0</v>
      </c>
      <c r="Y198" s="17">
        <f>N("Spotify")-IF(DAY(A198)=Budget!$Q$8,Budget!$P$8,0)</f>
        <v>0</v>
      </c>
      <c r="Z198" s="17">
        <f>N("Truebill")-IF(DAY(A198)=Budget!$Q$9,Budget!$P$9,0)</f>
        <v>0</v>
      </c>
      <c r="AA198" s="6">
        <f t="shared" si="20"/>
        <v>-400</v>
      </c>
    </row>
    <row r="199" spans="1:30" x14ac:dyDescent="0.3">
      <c r="A199" s="4">
        <f t="shared" si="22"/>
        <v>45835</v>
      </c>
      <c r="B199" s="2">
        <f t="shared" si="21"/>
        <v>3620.36</v>
      </c>
      <c r="C199" s="7">
        <f t="shared" si="23"/>
        <v>2</v>
      </c>
      <c r="D199" s="1">
        <v>0</v>
      </c>
      <c r="E199" s="17">
        <f>N("PAY-LM")+IF(WEEKDAY(A199)=Budget!$C$3,Budget!$B$3,0)</f>
        <v>1453</v>
      </c>
      <c r="F199" s="17">
        <f>N("Rent")-IF(DAY(A199)=Budget!$G$3,Budget!$F$3,0)</f>
        <v>0</v>
      </c>
      <c r="G199" s="17">
        <f>N("Car")-IF(DAY(A199)=Budget!$G$4,Budget!$F$4+Budget!$H$4,0)</f>
        <v>0</v>
      </c>
      <c r="H199" s="17">
        <f>N("Mom Rent")-IF(DAY(A199)=Budget!$G$5,Budget!$F$5,0)</f>
        <v>0</v>
      </c>
      <c r="I199" s="17">
        <f>N("AT&amp;T")-IF(DAY(A199)=Budget!$G$8,Budget!$F$8,0)</f>
        <v>0</v>
      </c>
      <c r="J199" s="17">
        <f>N("GA Power")-IF(DAY(A199)=Budget!$G$9,Budget!$F$9,0)</f>
        <v>0</v>
      </c>
      <c r="K199" s="17">
        <f>N("Haircut")-IF(DAY(A199)=Budget!$G$10,Budget!$F$10,0)</f>
        <v>0</v>
      </c>
      <c r="L199" s="17">
        <f>N("Groceries")-IF(DAY(A199)=Budget!$G$6,Budget!$F$6,0)</f>
        <v>0</v>
      </c>
      <c r="M199" s="17">
        <f>N("Savings")-IF(DAY(A199)=Budget!$G$7,Budget!$F$7,0)</f>
        <v>0</v>
      </c>
      <c r="N199" s="17">
        <f>N("Car Insurance")-COUNTIF(Budget!$G$14, A199)*Budget!$F$14</f>
        <v>0</v>
      </c>
      <c r="O199" s="17">
        <f>N("Phone Bill")-COUNTIF(Budget!$G$15, A199)*Budget!$F$15</f>
        <v>0</v>
      </c>
      <c r="Q199" s="17">
        <f>N("Spotify")-IF(AND(DAY($A199)=Budget!$M$3, MONTH($A199)=Budget!$L$3),Budget!$K$3,0)</f>
        <v>0</v>
      </c>
      <c r="R199" s="17">
        <f>N("Spotify")-IF(AND(DAY($A199)=Budget!$M$4, MONTH($A199)=Budget!$L$4),Budget!$K$4,0)</f>
        <v>0</v>
      </c>
      <c r="S199" s="17">
        <f>N("Spotify")-IF(AND(DAY($A199)=Budget!$M$5, MONTH($A199)=Budget!$L$5),Budget!$K$5,0)</f>
        <v>0</v>
      </c>
      <c r="T199" s="17">
        <f>N("Amazon Prime")-IF(DAY(A199)=Budget!$Q$3,Budget!$P$3,0)</f>
        <v>0</v>
      </c>
      <c r="U199" s="17">
        <f>N("Audible")-IF(DAY(A199)=Budget!$Q$12,Budget!$P$12,0)</f>
        <v>0</v>
      </c>
      <c r="V199" s="17">
        <f>N("Crunchyroll")-IF(DAY(A199)=Budget!$Q$5,Budget!$P$5,0)</f>
        <v>0</v>
      </c>
      <c r="W199" s="17">
        <f>N("HBO Max")-IF(DAY(A199)=Budget!$Q$6,Budget!$P$6,0)</f>
        <v>0</v>
      </c>
      <c r="X199" s="17">
        <f>N("Netflix")-IF(DAY(A199)=Budget!$Q$7,Budget!$P$7,0)</f>
        <v>0</v>
      </c>
      <c r="Y199" s="17">
        <f>N("Spotify")-IF(DAY(A199)=Budget!$Q$8,Budget!$P$8,0)</f>
        <v>0</v>
      </c>
      <c r="Z199" s="17">
        <f>N("Truebill")-IF(DAY(A199)=Budget!$Q$9,Budget!$P$9,0)</f>
        <v>0</v>
      </c>
      <c r="AA199" s="6">
        <f t="shared" si="20"/>
        <v>1453</v>
      </c>
    </row>
    <row r="200" spans="1:30" x14ac:dyDescent="0.3">
      <c r="A200" s="4">
        <f t="shared" si="22"/>
        <v>45836</v>
      </c>
      <c r="B200" s="2">
        <f t="shared" si="21"/>
        <v>2470.36</v>
      </c>
      <c r="C200" s="7">
        <f t="shared" si="23"/>
        <v>0</v>
      </c>
      <c r="D200" s="1">
        <v>0</v>
      </c>
      <c r="E200" s="17">
        <f>N("PAY-LM")+IF(WEEKDAY(A200)=Budget!$C$3,Budget!$B$3,0)</f>
        <v>0</v>
      </c>
      <c r="F200" s="17">
        <f>N("Rent")-IF(DAY(A200)=Budget!$G$3,Budget!$F$3,0)</f>
        <v>0</v>
      </c>
      <c r="G200" s="17">
        <f>N("Car")-IF(DAY(A200)=Budget!$G$4,Budget!$F$4+Budget!$H$4,0)</f>
        <v>0</v>
      </c>
      <c r="H200" s="17">
        <f>N("Mom Rent")-IF(DAY(A200)=Budget!$G$5,Budget!$F$5,0)</f>
        <v>0</v>
      </c>
      <c r="I200" s="17">
        <f>N("AT&amp;T")-IF(DAY(A200)=Budget!$G$8,Budget!$F$8,0)</f>
        <v>0</v>
      </c>
      <c r="J200" s="17">
        <f>N("GA Power")-IF(DAY(A200)=Budget!$G$9,Budget!$F$9,0)</f>
        <v>0</v>
      </c>
      <c r="K200" s="17">
        <f>N("Haircut")-IF(DAY(A200)=Budget!$G$10,Budget!$F$10,0)</f>
        <v>0</v>
      </c>
      <c r="L200" s="17">
        <f>N("Groceries")-IF(DAY(A200)=Budget!$G$6,Budget!$F$6,0)</f>
        <v>0</v>
      </c>
      <c r="M200" s="17">
        <f>N("Savings")-IF(DAY(A200)=Budget!$G$7,Budget!$F$7,0)</f>
        <v>-1000</v>
      </c>
      <c r="N200" s="17">
        <f>N("Car Insurance")-COUNTIF(Budget!$G$14, A200)*Budget!$F$14</f>
        <v>0</v>
      </c>
      <c r="O200" s="17">
        <f>N("Phone Bill")-COUNTIF(Budget!$G$15, A200)*Budget!$F$15</f>
        <v>0</v>
      </c>
      <c r="Q200" s="17">
        <f>N("Spotify")-IF(AND(DAY($A200)=Budget!$M$3, MONTH($A200)=Budget!$L$3),Budget!$K$3,0)</f>
        <v>0</v>
      </c>
      <c r="R200" s="17">
        <f>N("Spotify")-IF(AND(DAY($A200)=Budget!$M$4, MONTH($A200)=Budget!$L$4),Budget!$K$4,0)</f>
        <v>0</v>
      </c>
      <c r="S200" s="17">
        <f>N("Spotify")-IF(AND(DAY($A200)=Budget!$M$5, MONTH($A200)=Budget!$L$5),Budget!$K$5,0)</f>
        <v>0</v>
      </c>
      <c r="T200" s="17">
        <f>N("Amazon Prime")-IF(DAY(A200)=Budget!$Q$3,Budget!$P$3,0)</f>
        <v>0</v>
      </c>
      <c r="U200" s="17">
        <f>N("Audible")-IF(DAY(A200)=Budget!$Q$12,Budget!$P$12,0)</f>
        <v>0</v>
      </c>
      <c r="V200" s="17">
        <f>N("Crunchyroll")-IF(DAY(A200)=Budget!$Q$5,Budget!$P$5,0)</f>
        <v>0</v>
      </c>
      <c r="W200" s="17">
        <f>N("HBO Max")-IF(DAY(A200)=Budget!$Q$6,Budget!$P$6,0)</f>
        <v>0</v>
      </c>
      <c r="X200" s="17">
        <f>N("Netflix")-IF(DAY(A200)=Budget!$Q$7,Budget!$P$7,0)</f>
        <v>0</v>
      </c>
      <c r="Y200" s="17">
        <f>N("Spotify")-IF(DAY(A200)=Budget!$Q$8,Budget!$P$8,0)</f>
        <v>-150</v>
      </c>
      <c r="Z200" s="17">
        <f>N("Truebill")-IF(DAY(A200)=Budget!$Q$9,Budget!$P$9,0)</f>
        <v>0</v>
      </c>
      <c r="AA200" s="6">
        <f t="shared" si="20"/>
        <v>-1150</v>
      </c>
    </row>
    <row r="201" spans="1:30" x14ac:dyDescent="0.3">
      <c r="A201" s="4">
        <f t="shared" si="22"/>
        <v>45837</v>
      </c>
      <c r="B201" s="2">
        <f t="shared" si="21"/>
        <v>2445.7600000000002</v>
      </c>
      <c r="C201" s="7">
        <f>IF(B201&gt;B200,2,IF(B201=B200, 1,0))</f>
        <v>0</v>
      </c>
      <c r="D201" s="1">
        <v>0</v>
      </c>
      <c r="E201" s="17">
        <f>N("PAY-LM")+IF(WEEKDAY(A201)=Budget!$C$3,Budget!$B$3,0)</f>
        <v>0</v>
      </c>
      <c r="F201" s="17">
        <f>N("Rent")-IF(DAY(A201)=Budget!$G$3,Budget!$F$3,0)</f>
        <v>0</v>
      </c>
      <c r="G201" s="17">
        <f>N("Car")-IF(DAY(A201)=Budget!$G$4,Budget!$F$4+Budget!$H$4,0)</f>
        <v>0</v>
      </c>
      <c r="H201" s="17">
        <f>N("Mom Rent")-IF(DAY(A201)=Budget!$G$5,Budget!$F$5,0)</f>
        <v>0</v>
      </c>
      <c r="I201" s="17">
        <f>N("AT&amp;T")-IF(DAY(A201)=Budget!$G$8,Budget!$F$8,0)</f>
        <v>0</v>
      </c>
      <c r="J201" s="17">
        <f>N("GA Power")-IF(DAY(A201)=Budget!$G$9,Budget!$F$9,0)</f>
        <v>0</v>
      </c>
      <c r="K201" s="17">
        <f>N("Haircut")-IF(DAY(A201)=Budget!$G$10,Budget!$F$10,0)</f>
        <v>0</v>
      </c>
      <c r="L201" s="17">
        <f>N("Groceries")-IF(DAY(A201)=Budget!$G$6,Budget!$F$6,0)</f>
        <v>0</v>
      </c>
      <c r="M201" s="17">
        <f>N("Savings")-IF(DAY(A201)=Budget!$G$7,Budget!$F$7,0)</f>
        <v>0</v>
      </c>
      <c r="N201" s="17">
        <f>N("Car Insurance")-COUNTIF(Budget!$G$14, A201)*Budget!$F$14</f>
        <v>0</v>
      </c>
      <c r="O201" s="17">
        <f>N("Phone Bill")-COUNTIF(Budget!$G$15, A201)*Budget!$F$15</f>
        <v>0</v>
      </c>
      <c r="Q201" s="17">
        <f>N("Spotify")-IF(AND(DAY($A201)=Budget!$M$3, MONTH($A201)=Budget!$L$3),Budget!$K$3,0)</f>
        <v>0</v>
      </c>
      <c r="R201" s="17">
        <f>N("Spotify")-IF(AND(DAY($A201)=Budget!$M$4, MONTH($A201)=Budget!$L$4),Budget!$K$4,0)</f>
        <v>0</v>
      </c>
      <c r="S201" s="17">
        <f>N("Spotify")-IF(AND(DAY($A201)=Budget!$M$5, MONTH($A201)=Budget!$L$5),Budget!$K$5,0)</f>
        <v>0</v>
      </c>
      <c r="T201" s="17">
        <f>N("Amazon Prime")-IF(DAY(A201)=Budget!$Q$3,Budget!$P$3,0)</f>
        <v>0</v>
      </c>
      <c r="U201" s="17">
        <f>N("Audible")-IF(DAY(A201)=Budget!$Q$12,Budget!$P$12,0)</f>
        <v>0</v>
      </c>
      <c r="V201" s="17">
        <f>N("Crunchyroll")-IF(DAY(A201)=Budget!$Q$5,Budget!$P$5,0)</f>
        <v>-24.6</v>
      </c>
      <c r="W201" s="17">
        <f>N("HBO Max")-IF(DAY(A201)=Budget!$Q$6,Budget!$P$6,0)</f>
        <v>0</v>
      </c>
      <c r="X201" s="17">
        <f>N("Netflix")-IF(DAY(A201)=Budget!$Q$7,Budget!$P$7,0)</f>
        <v>0</v>
      </c>
      <c r="Y201" s="17">
        <f>N("Spotify")-IF(DAY(A201)=Budget!$Q$8,Budget!$P$8,0)</f>
        <v>0</v>
      </c>
      <c r="Z201" s="17">
        <f>N("Truebill")-IF(DAY(A201)=Budget!$Q$9,Budget!$P$9,0)</f>
        <v>0</v>
      </c>
      <c r="AA201" s="6">
        <f t="shared" si="20"/>
        <v>-24.6</v>
      </c>
    </row>
    <row r="202" spans="1:30" x14ac:dyDescent="0.3">
      <c r="A202" s="4">
        <f t="shared" si="22"/>
        <v>45838</v>
      </c>
      <c r="B202" s="2">
        <v>2831.01</v>
      </c>
      <c r="C202" s="7">
        <f>IF(B202&gt;B201,2,IF(B202=B201, 1,0))</f>
        <v>2</v>
      </c>
      <c r="D202" s="1">
        <v>0</v>
      </c>
      <c r="E202" s="17">
        <f>N("PAY-LM")+IF(WEEKDAY(A202)=Budget!$C$3,Budget!$B$3,0)</f>
        <v>0</v>
      </c>
      <c r="F202" s="17">
        <f>N("Rent")-IF(DAY(A202)=Budget!$G$3,Budget!$F$3,0)</f>
        <v>0</v>
      </c>
      <c r="G202" s="17">
        <f>N("Car")-IF(DAY(A202)=Budget!$G$4,Budget!$F$4+Budget!$H$4,0)</f>
        <v>0</v>
      </c>
      <c r="H202" s="17">
        <f>N("Mom Rent")-IF(DAY(A202)=Budget!$G$5,Budget!$F$5,0)</f>
        <v>0</v>
      </c>
      <c r="I202" s="17">
        <f>N("AT&amp;T")-IF(DAY(A202)=Budget!$G$8,Budget!$F$8,0)</f>
        <v>0</v>
      </c>
      <c r="J202" s="17">
        <f>N("GA Power")-IF(DAY(A202)=Budget!$G$9,Budget!$F$9,0)</f>
        <v>0</v>
      </c>
      <c r="K202" s="17">
        <f>N("Haircut")-IF(DAY(A202)=Budget!$G$10,Budget!$F$10,0)</f>
        <v>0</v>
      </c>
      <c r="L202" s="17">
        <f>N("Groceries")-IF(DAY(A202)=Budget!$G$6,Budget!$F$6,0)</f>
        <v>0</v>
      </c>
      <c r="M202" s="17">
        <f>N("Savings")-IF(DAY(A202)=Budget!$G$7,Budget!$F$7,0)</f>
        <v>0</v>
      </c>
      <c r="N202" s="17">
        <f>N("Car Insurance")-COUNTIF(Budget!$G$14, A202)*Budget!$F$14</f>
        <v>0</v>
      </c>
      <c r="O202" s="17">
        <f>N("Phone Bill")-COUNTIF(Budget!$G$15, A202)*Budget!$F$15</f>
        <v>0</v>
      </c>
      <c r="Q202" s="17">
        <f>N("Spotify")-IF(AND(DAY($A202)=Budget!$M$3, MONTH($A202)=Budget!$L$3),Budget!$K$3,0)</f>
        <v>0</v>
      </c>
      <c r="R202" s="17">
        <f>N("Spotify")-IF(AND(DAY($A202)=Budget!$M$4, MONTH($A202)=Budget!$L$4),Budget!$K$4,0)</f>
        <v>0</v>
      </c>
      <c r="S202" s="17">
        <f>N("Spotify")-IF(AND(DAY($A202)=Budget!$M$5, MONTH($A202)=Budget!$L$5),Budget!$K$5,0)</f>
        <v>0</v>
      </c>
      <c r="T202" s="17">
        <f>N("Amazon Prime")-IF(DAY(A202)=Budget!$Q$3,Budget!$P$3,0)</f>
        <v>0</v>
      </c>
      <c r="U202" s="17">
        <f>N("Audible")-IF(DAY(A202)=Budget!$Q$12,Budget!$P$12,0)</f>
        <v>0</v>
      </c>
      <c r="V202" s="17">
        <f>N("Crunchyroll")-IF(DAY(A202)=Budget!$Q$5,Budget!$P$5,0)</f>
        <v>0</v>
      </c>
      <c r="W202" s="17">
        <f>N("HBO Max")-IF(DAY(A202)=Budget!$Q$6,Budget!$P$6,0)</f>
        <v>0</v>
      </c>
      <c r="X202" s="17">
        <f>N("Netflix")-IF(DAY(A202)=Budget!$Q$7,Budget!$P$7,0)</f>
        <v>0</v>
      </c>
      <c r="Y202" s="17">
        <f>N("Spotify")-IF(DAY(A202)=Budget!$Q$8,Budget!$P$8,0)</f>
        <v>0</v>
      </c>
      <c r="Z202" s="17">
        <f>N("Truebill")-IF(DAY(A202)=Budget!$Q$9,Budget!$P$9,0)</f>
        <v>0</v>
      </c>
      <c r="AA202" s="6">
        <f t="shared" si="20"/>
        <v>0</v>
      </c>
    </row>
    <row r="205" spans="1:30" x14ac:dyDescent="0.3">
      <c r="D205" s="40" t="s">
        <v>17</v>
      </c>
      <c r="E205" s="41" t="s">
        <v>15</v>
      </c>
      <c r="F205" s="41"/>
      <c r="G205" s="41"/>
      <c r="H205" s="41"/>
      <c r="I205" s="41"/>
      <c r="J205" s="41"/>
      <c r="K205" s="41"/>
      <c r="L205" s="41"/>
      <c r="M205" s="41"/>
      <c r="N205" s="42" t="str">
        <f>Budget!$E$12</f>
        <v>Annual Expenses</v>
      </c>
      <c r="O205" s="42"/>
      <c r="Q205" s="43" t="s">
        <v>36</v>
      </c>
      <c r="R205" s="43"/>
      <c r="S205" s="43"/>
      <c r="T205" s="41" t="s">
        <v>8</v>
      </c>
      <c r="U205" s="41"/>
      <c r="V205" s="41"/>
      <c r="W205" s="41"/>
      <c r="X205" s="41"/>
      <c r="Y205" s="41"/>
      <c r="Z205" s="41"/>
      <c r="AA205" s="10" t="s">
        <v>16</v>
      </c>
      <c r="AC205" s="6">
        <f>SUMIF(D207:Z237,"&lt;0")</f>
        <v>-5121.42</v>
      </c>
      <c r="AD205" s="6">
        <f>SUM(E207:E237)</f>
        <v>5812</v>
      </c>
    </row>
    <row r="206" spans="1:30" x14ac:dyDescent="0.3">
      <c r="A206" s="39">
        <f>EDATE(A172,1)</f>
        <v>45839</v>
      </c>
      <c r="B206" s="39"/>
      <c r="D206" s="40"/>
      <c r="E206" s="18" t="str">
        <f>Budget!$A$3</f>
        <v>PAY-LM</v>
      </c>
      <c r="F206" t="str">
        <f>Budget!$E$3</f>
        <v>Rent</v>
      </c>
      <c r="G206" t="str">
        <f>Budget!$E$4</f>
        <v>Car</v>
      </c>
      <c r="H206" t="str">
        <f>Budget!$E$5</f>
        <v>Mom Rent</v>
      </c>
      <c r="I206" t="str">
        <f>Budget!$E$8</f>
        <v>AT&amp;T</v>
      </c>
      <c r="J206" t="str">
        <f>Budget!$E$9</f>
        <v>GA Power</v>
      </c>
      <c r="K206" t="str">
        <f>Budget!$E$10</f>
        <v>TH</v>
      </c>
      <c r="L206" t="str">
        <f>Budget!$E$6</f>
        <v>Groceries</v>
      </c>
      <c r="M206" s="16" t="str">
        <f>Budget!$E$7</f>
        <v>Savings</v>
      </c>
      <c r="N206" t="str">
        <f>Budget!$E$14</f>
        <v>Car Insurance</v>
      </c>
      <c r="O206" t="str">
        <f>Budget!$E$15</f>
        <v>Phone Bill</v>
      </c>
      <c r="Q206" t="str">
        <f>Budget!$J$3</f>
        <v>Capital One</v>
      </c>
      <c r="R206" t="str">
        <f>Budget!$J$4</f>
        <v>Chase</v>
      </c>
      <c r="S206" t="str">
        <f>Budget!$J$5</f>
        <v>NFCU</v>
      </c>
      <c r="T206" t="str">
        <f>Budget!$O$3</f>
        <v>Amazon Prime</v>
      </c>
      <c r="U206" t="str">
        <f>Budget!$O$12</f>
        <v>Audible</v>
      </c>
      <c r="V206" t="str">
        <f>Budget!$O$5</f>
        <v>Netflix</v>
      </c>
      <c r="W206" t="str">
        <f>Budget!$O$6</f>
        <v>Spotify</v>
      </c>
      <c r="X206" t="str">
        <f>Budget!$O$7</f>
        <v>Rocket Money</v>
      </c>
      <c r="Y206" t="str">
        <f>Budget!$O$8</f>
        <v>Little4Much</v>
      </c>
      <c r="Z206" t="str">
        <f>Budget!$O$9</f>
        <v>None</v>
      </c>
      <c r="AA206" s="10"/>
      <c r="AC206" s="3">
        <f>AD205+AC205</f>
        <v>690.57999999999993</v>
      </c>
    </row>
    <row r="207" spans="1:30" x14ac:dyDescent="0.3">
      <c r="A207" s="4">
        <f>A206</f>
        <v>45839</v>
      </c>
      <c r="B207" s="2">
        <f>B202+AA207</f>
        <v>1098.0100000000002</v>
      </c>
      <c r="C207" s="7">
        <f>IF(B207&gt;B202,2,IF(B207=B202, 1,0))</f>
        <v>0</v>
      </c>
      <c r="D207" s="1">
        <v>0</v>
      </c>
      <c r="E207" s="17">
        <f>N("PAY-LM")+IF(WEEKDAY(A207)=Budget!$C$3,Budget!$B$3,0)</f>
        <v>0</v>
      </c>
      <c r="F207" s="17">
        <f>N("Rent")-IF(DAY(A207)=Budget!$G$3,Budget!$F$3,0)</f>
        <v>-1733</v>
      </c>
      <c r="G207" s="17">
        <f>N("Car")-IF(DAY(A207)=Budget!$G$4,Budget!$F$4+Budget!$H$4,0)</f>
        <v>0</v>
      </c>
      <c r="H207" s="17">
        <f>N("Mom Rent")-IF(DAY(A207)=Budget!$G$5,Budget!$F$5,0)</f>
        <v>0</v>
      </c>
      <c r="I207" s="17">
        <f>N("AT&amp;T")-IF(DAY(A207)=Budget!$G$8,Budget!$F$8,0)</f>
        <v>0</v>
      </c>
      <c r="J207" s="17">
        <f>N("GA Power")-IF(DAY(A207)=Budget!$G$9,Budget!$F$9,0)</f>
        <v>0</v>
      </c>
      <c r="K207" s="17">
        <f>N("Haircut")-IF(DAY(A207)=Budget!$G$10,Budget!$F$10,0)</f>
        <v>0</v>
      </c>
      <c r="L207" s="17">
        <f>N("Groceries")-IF(DAY(A207)=Budget!$G$6,Budget!$F$6,0)</f>
        <v>0</v>
      </c>
      <c r="M207" s="17">
        <f>N("Savings")-IF(DAY(A207)=Budget!$G$7,Budget!$F$7,0)</f>
        <v>0</v>
      </c>
      <c r="N207" s="17">
        <f>N("Car Insurance")-COUNTIF(Budget!$G$14, A207)*Budget!$F$14</f>
        <v>0</v>
      </c>
      <c r="O207" s="17">
        <f>N("Phone Bill")-COUNTIF(Budget!$G$15, A207)*Budget!$F$15</f>
        <v>0</v>
      </c>
      <c r="Q207" s="17">
        <f>N("Spotify")-IF(AND(DAY($A207)=Budget!$M$3, MONTH($A207)=Budget!$L$3),Budget!$K$3,0)</f>
        <v>0</v>
      </c>
      <c r="R207" s="17">
        <f>N("Spotify")-IF(AND(DAY($A207)=Budget!$M$4, MONTH($A207)=Budget!$L$4),Budget!$K$4,0)</f>
        <v>0</v>
      </c>
      <c r="S207" s="17">
        <f>N("Spotify")-IF(AND(DAY($A207)=Budget!$M$5, MONTH($A207)=Budget!$L$5),Budget!$K$5,0)</f>
        <v>0</v>
      </c>
      <c r="T207" s="17">
        <f>N("Amazon Prime")-IF(DAY(A207)=Budget!$Q$3,Budget!$P$3,0)</f>
        <v>0</v>
      </c>
      <c r="U207" s="17">
        <f>N("Audible")-IF(DAY(A207)=Budget!$Q$12,Budget!$P$12,0)</f>
        <v>0</v>
      </c>
      <c r="V207" s="17">
        <f>N("Crunchyroll")-IF(DAY(A207)=Budget!$Q$5,Budget!$P$5,0)</f>
        <v>0</v>
      </c>
      <c r="W207" s="17">
        <f>N("HBO Max")-IF(DAY(A207)=Budget!$Q$6,Budget!$P$6,0)</f>
        <v>0</v>
      </c>
      <c r="X207" s="17">
        <f>N("Netflix")-IF(DAY(A207)=Budget!$Q$7,Budget!$P$7,0)</f>
        <v>0</v>
      </c>
      <c r="Y207" s="17">
        <f>N("Spotify")-IF(DAY(A207)=Budget!$Q$8,Budget!$P$8,0)</f>
        <v>0</v>
      </c>
      <c r="Z207" s="17">
        <f>N("Truebill")-IF(DAY(A207)=Budget!$Q$9,Budget!$P$9,0)</f>
        <v>0</v>
      </c>
      <c r="AA207" s="6">
        <f t="shared" ref="AA207:AA237" si="24">SUM(D207:Z207)</f>
        <v>-1733</v>
      </c>
    </row>
    <row r="208" spans="1:30" x14ac:dyDescent="0.3">
      <c r="A208" s="4">
        <f>A207+1</f>
        <v>45840</v>
      </c>
      <c r="B208" s="2">
        <f t="shared" ref="B208:B237" si="25">B207+AA208</f>
        <v>294.6600000000002</v>
      </c>
      <c r="C208" s="7">
        <f>IF(B208&gt;B207,2,IF(B208=B207, 1,0))</f>
        <v>0</v>
      </c>
      <c r="D208" s="1">
        <v>0</v>
      </c>
      <c r="E208" s="17">
        <f>N("PAY-LM")+IF(WEEKDAY(A208)=Budget!$C$3,Budget!$B$3,0)</f>
        <v>0</v>
      </c>
      <c r="F208" s="17">
        <f>N("Rent")-IF(DAY(A208)=Budget!$G$3,Budget!$F$3,0)</f>
        <v>0</v>
      </c>
      <c r="G208" s="17">
        <f>N("Car")-IF(DAY(A208)=Budget!$G$4,Budget!$F$4+Budget!$H$4,0)</f>
        <v>-503.35</v>
      </c>
      <c r="H208" s="17">
        <f>N("Mom Rent")-IF(DAY(A208)=Budget!$G$5,Budget!$F$5,0)</f>
        <v>0</v>
      </c>
      <c r="I208" s="17">
        <f>N("AT&amp;T")-IF(DAY(A208)=Budget!$G$8,Budget!$F$8,0)</f>
        <v>0</v>
      </c>
      <c r="J208" s="17">
        <f>N("GA Power")-IF(DAY(A208)=Budget!$G$9,Budget!$F$9,0)</f>
        <v>0</v>
      </c>
      <c r="K208" s="17">
        <f>N("Haircut")-IF(DAY(A208)=Budget!$G$10,Budget!$F$10,0)</f>
        <v>0</v>
      </c>
      <c r="L208" s="17">
        <f>N("Groceries")-IF(DAY(A208)=Budget!$G$6,Budget!$F$6,0)</f>
        <v>-300</v>
      </c>
      <c r="M208" s="17">
        <f>N("Savings")-IF(DAY(A208)=Budget!$G$7,Budget!$F$7,0)</f>
        <v>0</v>
      </c>
      <c r="N208" s="17">
        <f>N("Car Insurance")-COUNTIF(Budget!$G$14, A208)*Budget!$F$14</f>
        <v>0</v>
      </c>
      <c r="O208" s="17">
        <f>N("Phone Bill")-COUNTIF(Budget!$G$15, A208)*Budget!$F$15</f>
        <v>0</v>
      </c>
      <c r="Q208" s="17">
        <f>N("Spotify")-IF(AND(DAY($A208)=Budget!$M$3, MONTH($A208)=Budget!$L$3),Budget!$K$3,0)</f>
        <v>0</v>
      </c>
      <c r="R208" s="17">
        <f>N("Spotify")-IF(AND(DAY($A208)=Budget!$M$4, MONTH($A208)=Budget!$L$4),Budget!$K$4,0)</f>
        <v>0</v>
      </c>
      <c r="S208" s="17">
        <f>N("Spotify")-IF(AND(DAY($A208)=Budget!$M$5, MONTH($A208)=Budget!$L$5),Budget!$K$5,0)</f>
        <v>0</v>
      </c>
      <c r="T208" s="17">
        <f>N("Amazon Prime")-IF(DAY(A208)=Budget!$Q$3,Budget!$P$3,0)</f>
        <v>0</v>
      </c>
      <c r="U208" s="17">
        <f>N("Audible")-IF(DAY(A208)=Budget!$Q$12,Budget!$P$12,0)</f>
        <v>0</v>
      </c>
      <c r="V208" s="17">
        <f>N("Crunchyroll")-IF(DAY(A208)=Budget!$Q$5,Budget!$P$5,0)</f>
        <v>0</v>
      </c>
      <c r="W208" s="17">
        <f>N("HBO Max")-IF(DAY(A208)=Budget!$Q$6,Budget!$P$6,0)</f>
        <v>0</v>
      </c>
      <c r="X208" s="17">
        <f>N("Netflix")-IF(DAY(A208)=Budget!$Q$7,Budget!$P$7,0)</f>
        <v>0</v>
      </c>
      <c r="Y208" s="17">
        <f>N("Spotify")-IF(DAY(A208)=Budget!$Q$8,Budget!$P$8,0)</f>
        <v>0</v>
      </c>
      <c r="Z208" s="17">
        <f>N("Truebill")-IF(DAY(A208)=Budget!$Q$9,Budget!$P$9,0)</f>
        <v>0</v>
      </c>
      <c r="AA208" s="6">
        <f t="shared" si="24"/>
        <v>-803.35</v>
      </c>
    </row>
    <row r="209" spans="1:27" x14ac:dyDescent="0.3">
      <c r="A209" s="4">
        <f t="shared" ref="A209:A237" si="26">A208+1</f>
        <v>45841</v>
      </c>
      <c r="B209" s="2">
        <f t="shared" si="25"/>
        <v>294.6600000000002</v>
      </c>
      <c r="C209" s="7">
        <f t="shared" ref="C209:C234" si="27">IF(B209&gt;B208,2,IF(B209=B208, 1,0))</f>
        <v>1</v>
      </c>
      <c r="D209" s="1">
        <v>0</v>
      </c>
      <c r="E209" s="17">
        <f>N("PAY-LM")+IF(WEEKDAY(A209)=Budget!$C$3,Budget!$B$3,0)</f>
        <v>0</v>
      </c>
      <c r="F209" s="17">
        <f>N("Rent")-IF(DAY(A209)=Budget!$G$3,Budget!$F$3,0)</f>
        <v>0</v>
      </c>
      <c r="G209" s="17">
        <f>N("Car")-IF(DAY(A209)=Budget!$G$4,Budget!$F$4+Budget!$H$4,0)</f>
        <v>0</v>
      </c>
      <c r="H209" s="17">
        <f>N("Mom Rent")-IF(DAY(A209)=Budget!$G$5,Budget!$F$5,0)</f>
        <v>0</v>
      </c>
      <c r="I209" s="17">
        <f>N("AT&amp;T")-IF(DAY(A209)=Budget!$G$8,Budget!$F$8,0)</f>
        <v>0</v>
      </c>
      <c r="J209" s="17">
        <f>N("GA Power")-IF(DAY(A209)=Budget!$G$9,Budget!$F$9,0)</f>
        <v>0</v>
      </c>
      <c r="K209" s="17">
        <f>N("Haircut")-IF(DAY(A209)=Budget!$G$10,Budget!$F$10,0)</f>
        <v>0</v>
      </c>
      <c r="L209" s="17">
        <f>N("Groceries")-IF(DAY(A209)=Budget!$G$6,Budget!$F$6,0)</f>
        <v>0</v>
      </c>
      <c r="M209" s="17">
        <f>N("Savings")-IF(DAY(A209)=Budget!$G$7,Budget!$F$7,0)</f>
        <v>0</v>
      </c>
      <c r="N209" s="17">
        <f>N("Car Insurance")-COUNTIF(Budget!$G$14, A209)*Budget!$F$14</f>
        <v>0</v>
      </c>
      <c r="O209" s="17">
        <f>N("Phone Bill")-COUNTIF(Budget!$G$15, A209)*Budget!$F$15</f>
        <v>0</v>
      </c>
      <c r="Q209" s="17">
        <f>N("Spotify")-IF(AND(DAY($A209)=Budget!$M$3, MONTH($A209)=Budget!$L$3),Budget!$K$3,0)</f>
        <v>0</v>
      </c>
      <c r="R209" s="17">
        <f>N("Spotify")-IF(AND(DAY($A209)=Budget!$M$4, MONTH($A209)=Budget!$L$4),Budget!$K$4,0)</f>
        <v>0</v>
      </c>
      <c r="S209" s="17">
        <f>N("Spotify")-IF(AND(DAY($A209)=Budget!$M$5, MONTH($A209)=Budget!$L$5),Budget!$K$5,0)</f>
        <v>0</v>
      </c>
      <c r="T209" s="17">
        <f>N("Amazon Prime")-IF(DAY(A209)=Budget!$Q$3,Budget!$P$3,0)</f>
        <v>0</v>
      </c>
      <c r="U209" s="17">
        <f>N("Audible")-IF(DAY(A209)=Budget!$Q$12,Budget!$P$12,0)</f>
        <v>0</v>
      </c>
      <c r="V209" s="17">
        <f>N("Crunchyroll")-IF(DAY(A209)=Budget!$Q$5,Budget!$P$5,0)</f>
        <v>0</v>
      </c>
      <c r="W209" s="17">
        <f>N("HBO Max")-IF(DAY(A209)=Budget!$Q$6,Budget!$P$6,0)</f>
        <v>0</v>
      </c>
      <c r="X209" s="17">
        <f>N("Netflix")-IF(DAY(A209)=Budget!$Q$7,Budget!$P$7,0)</f>
        <v>0</v>
      </c>
      <c r="Y209" s="17">
        <f>N("Spotify")-IF(DAY(A209)=Budget!$Q$8,Budget!$P$8,0)</f>
        <v>0</v>
      </c>
      <c r="Z209" s="17">
        <f>N("Truebill")-IF(DAY(A209)=Budget!$Q$9,Budget!$P$9,0)</f>
        <v>0</v>
      </c>
      <c r="AA209" s="6">
        <f t="shared" si="24"/>
        <v>0</v>
      </c>
    </row>
    <row r="210" spans="1:27" x14ac:dyDescent="0.3">
      <c r="A210" s="4">
        <f t="shared" si="26"/>
        <v>45842</v>
      </c>
      <c r="B210" s="2">
        <f t="shared" si="25"/>
        <v>1747.6600000000003</v>
      </c>
      <c r="C210" s="7">
        <f t="shared" si="27"/>
        <v>2</v>
      </c>
      <c r="D210" s="1">
        <v>0</v>
      </c>
      <c r="E210" s="17">
        <f>N("PAY-LM")+IF(WEEKDAY(A210)=Budget!$C$3,Budget!$B$3,0)</f>
        <v>1453</v>
      </c>
      <c r="F210" s="17">
        <f>N("Rent")-IF(DAY(A210)=Budget!$G$3,Budget!$F$3,0)</f>
        <v>0</v>
      </c>
      <c r="G210" s="17">
        <f>N("Car")-IF(DAY(A210)=Budget!$G$4,Budget!$F$4+Budget!$H$4,0)</f>
        <v>0</v>
      </c>
      <c r="H210" s="17">
        <f>N("Mom Rent")-IF(DAY(A210)=Budget!$G$5,Budget!$F$5,0)</f>
        <v>0</v>
      </c>
      <c r="I210" s="17">
        <f>N("AT&amp;T")-IF(DAY(A210)=Budget!$G$8,Budget!$F$8,0)</f>
        <v>0</v>
      </c>
      <c r="J210" s="17">
        <f>N("GA Power")-IF(DAY(A210)=Budget!$G$9,Budget!$F$9,0)</f>
        <v>0</v>
      </c>
      <c r="K210" s="17">
        <f>N("Haircut")-IF(DAY(A210)=Budget!$G$10,Budget!$F$10,0)</f>
        <v>0</v>
      </c>
      <c r="L210" s="17">
        <f>N("Groceries")-IF(DAY(A210)=Budget!$G$6,Budget!$F$6,0)</f>
        <v>0</v>
      </c>
      <c r="M210" s="17">
        <f>N("Savings")-IF(DAY(A210)=Budget!$G$7,Budget!$F$7,0)</f>
        <v>0</v>
      </c>
      <c r="N210" s="17">
        <f>N("Car Insurance")-COUNTIF(Budget!$G$14, A210)*Budget!$F$14</f>
        <v>0</v>
      </c>
      <c r="O210" s="17">
        <f>N("Phone Bill")-COUNTIF(Budget!$G$15, A210)*Budget!$F$15</f>
        <v>0</v>
      </c>
      <c r="Q210" s="17">
        <f>N("Spotify")-IF(AND(DAY($A210)=Budget!$M$3, MONTH($A210)=Budget!$L$3),Budget!$K$3,0)</f>
        <v>0</v>
      </c>
      <c r="R210" s="17">
        <f>N("Spotify")-IF(AND(DAY($A210)=Budget!$M$4, MONTH($A210)=Budget!$L$4),Budget!$K$4,0)</f>
        <v>0</v>
      </c>
      <c r="S210" s="17">
        <f>N("Spotify")-IF(AND(DAY($A210)=Budget!$M$5, MONTH($A210)=Budget!$L$5),Budget!$K$5,0)</f>
        <v>0</v>
      </c>
      <c r="T210" s="17">
        <f>N("Amazon Prime")-IF(DAY(A210)=Budget!$Q$3,Budget!$P$3,0)</f>
        <v>0</v>
      </c>
      <c r="U210" s="17">
        <f>N("Audible")-IF(DAY(A210)=Budget!$Q$12,Budget!$P$12,0)</f>
        <v>0</v>
      </c>
      <c r="V210" s="17">
        <f>N("Crunchyroll")-IF(DAY(A210)=Budget!$Q$5,Budget!$P$5,0)</f>
        <v>0</v>
      </c>
      <c r="W210" s="17">
        <f>N("HBO Max")-IF(DAY(A210)=Budget!$Q$6,Budget!$P$6,0)</f>
        <v>0</v>
      </c>
      <c r="X210" s="17">
        <f>N("Netflix")-IF(DAY(A210)=Budget!$Q$7,Budget!$P$7,0)</f>
        <v>0</v>
      </c>
      <c r="Y210" s="17">
        <f>N("Spotify")-IF(DAY(A210)=Budget!$Q$8,Budget!$P$8,0)</f>
        <v>0</v>
      </c>
      <c r="Z210" s="17">
        <f>N("Truebill")-IF(DAY(A210)=Budget!$Q$9,Budget!$P$9,0)</f>
        <v>0</v>
      </c>
      <c r="AA210" s="6">
        <f t="shared" si="24"/>
        <v>1453</v>
      </c>
    </row>
    <row r="211" spans="1:27" x14ac:dyDescent="0.3">
      <c r="A211" s="4">
        <f t="shared" si="26"/>
        <v>45843</v>
      </c>
      <c r="B211" s="2">
        <f t="shared" si="25"/>
        <v>1677.6600000000003</v>
      </c>
      <c r="C211" s="7">
        <f t="shared" si="27"/>
        <v>0</v>
      </c>
      <c r="D211" s="1">
        <v>0</v>
      </c>
      <c r="E211" s="17">
        <f>N("PAY-LM")+IF(WEEKDAY(A211)=Budget!$C$3,Budget!$B$3,0)</f>
        <v>0</v>
      </c>
      <c r="F211" s="17">
        <f>N("Rent")-IF(DAY(A211)=Budget!$G$3,Budget!$F$3,0)</f>
        <v>0</v>
      </c>
      <c r="G211" s="17">
        <f>N("Car")-IF(DAY(A211)=Budget!$G$4,Budget!$F$4+Budget!$H$4,0)</f>
        <v>0</v>
      </c>
      <c r="H211" s="17">
        <f>N("Mom Rent")-IF(DAY(A211)=Budget!$G$5,Budget!$F$5,0)</f>
        <v>0</v>
      </c>
      <c r="I211" s="17">
        <f>N("AT&amp;T")-IF(DAY(A211)=Budget!$G$8,Budget!$F$8,0)</f>
        <v>0</v>
      </c>
      <c r="J211" s="17">
        <f>N("GA Power")-IF(DAY(A211)=Budget!$G$9,Budget!$F$9,0)</f>
        <v>-70</v>
      </c>
      <c r="K211" s="17">
        <f>N("Haircut")-IF(DAY(A211)=Budget!$G$10,Budget!$F$10,0)</f>
        <v>0</v>
      </c>
      <c r="L211" s="17">
        <f>N("Groceries")-IF(DAY(A211)=Budget!$G$6,Budget!$F$6,0)</f>
        <v>0</v>
      </c>
      <c r="M211" s="17">
        <f>N("Savings")-IF(DAY(A211)=Budget!$G$7,Budget!$F$7,0)</f>
        <v>0</v>
      </c>
      <c r="N211" s="17">
        <f>N("Car Insurance")-COUNTIF(Budget!$G$14, A211)*Budget!$F$14</f>
        <v>0</v>
      </c>
      <c r="O211" s="17">
        <f>N("Phone Bill")-COUNTIF(Budget!$G$15, A211)*Budget!$F$15</f>
        <v>0</v>
      </c>
      <c r="Q211" s="17">
        <f>N("Spotify")-IF(AND(DAY($A211)=Budget!$M$3, MONTH($A211)=Budget!$L$3),Budget!$K$3,0)</f>
        <v>0</v>
      </c>
      <c r="R211" s="17">
        <f>N("Spotify")-IF(AND(DAY($A211)=Budget!$M$4, MONTH($A211)=Budget!$L$4),Budget!$K$4,0)</f>
        <v>0</v>
      </c>
      <c r="S211" s="17">
        <f>N("Spotify")-IF(AND(DAY($A211)=Budget!$M$5, MONTH($A211)=Budget!$L$5),Budget!$K$5,0)</f>
        <v>0</v>
      </c>
      <c r="T211" s="17">
        <f>N("Amazon Prime")-IF(DAY(A211)=Budget!$Q$3,Budget!$P$3,0)</f>
        <v>0</v>
      </c>
      <c r="U211" s="17">
        <f>N("Audible")-IF(DAY(A211)=Budget!$Q$12,Budget!$P$12,0)</f>
        <v>0</v>
      </c>
      <c r="V211" s="17">
        <f>N("Crunchyroll")-IF(DAY(A211)=Budget!$Q$5,Budget!$P$5,0)</f>
        <v>0</v>
      </c>
      <c r="W211" s="17">
        <f>N("HBO Max")-IF(DAY(A211)=Budget!$Q$6,Budget!$P$6,0)</f>
        <v>0</v>
      </c>
      <c r="X211" s="17">
        <f>N("Netflix")-IF(DAY(A211)=Budget!$Q$7,Budget!$P$7,0)</f>
        <v>0</v>
      </c>
      <c r="Y211" s="17">
        <f>N("Spotify")-IF(DAY(A211)=Budget!$Q$8,Budget!$P$8,0)</f>
        <v>0</v>
      </c>
      <c r="Z211" s="17">
        <f>N("Truebill")-IF(DAY(A211)=Budget!$Q$9,Budget!$P$9,0)</f>
        <v>0</v>
      </c>
      <c r="AA211" s="6">
        <f t="shared" si="24"/>
        <v>-70</v>
      </c>
    </row>
    <row r="212" spans="1:27" x14ac:dyDescent="0.3">
      <c r="A212" s="4">
        <f t="shared" si="26"/>
        <v>45844</v>
      </c>
      <c r="B212" s="2">
        <f t="shared" si="25"/>
        <v>1677.6600000000003</v>
      </c>
      <c r="C212" s="7">
        <f t="shared" si="27"/>
        <v>1</v>
      </c>
      <c r="D212" s="1">
        <v>0</v>
      </c>
      <c r="E212" s="17">
        <f>N("PAY-LM")+IF(WEEKDAY(A212)=Budget!$C$3,Budget!$B$3,0)</f>
        <v>0</v>
      </c>
      <c r="F212" s="17">
        <f>N("Rent")-IF(DAY(A212)=Budget!$G$3,Budget!$F$3,0)</f>
        <v>0</v>
      </c>
      <c r="G212" s="17">
        <f>N("Car")-IF(DAY(A212)=Budget!$G$4,Budget!$F$4+Budget!$H$4,0)</f>
        <v>0</v>
      </c>
      <c r="H212" s="17">
        <f>N("Mom Rent")-IF(DAY(A212)=Budget!$G$5,Budget!$F$5,0)</f>
        <v>0</v>
      </c>
      <c r="I212" s="17">
        <f>N("AT&amp;T")-IF(DAY(A212)=Budget!$G$8,Budget!$F$8,0)</f>
        <v>0</v>
      </c>
      <c r="J212" s="17">
        <f>N("GA Power")-IF(DAY(A212)=Budget!$G$9,Budget!$F$9,0)</f>
        <v>0</v>
      </c>
      <c r="K212" s="17">
        <f>N("Haircut")-IF(DAY(A212)=Budget!$G$10,Budget!$F$10,0)</f>
        <v>0</v>
      </c>
      <c r="L212" s="17">
        <f>N("Groceries")-IF(DAY(A212)=Budget!$G$6,Budget!$F$6,0)</f>
        <v>0</v>
      </c>
      <c r="M212" s="17">
        <f>N("Savings")-IF(DAY(A212)=Budget!$G$7,Budget!$F$7,0)</f>
        <v>0</v>
      </c>
      <c r="N212" s="17">
        <f>N("Car Insurance")-COUNTIF(Budget!$G$14, A212)*Budget!$F$14</f>
        <v>0</v>
      </c>
      <c r="O212" s="17">
        <f>N("Phone Bill")-COUNTIF(Budget!$G$15, A212)*Budget!$F$15</f>
        <v>0</v>
      </c>
      <c r="Q212" s="17">
        <f>N("Spotify")-IF(AND(DAY($A212)=Budget!$M$3, MONTH($A212)=Budget!$L$3),Budget!$K$3,0)</f>
        <v>0</v>
      </c>
      <c r="R212" s="17">
        <f>N("Spotify")-IF(AND(DAY($A212)=Budget!$M$4, MONTH($A212)=Budget!$L$4),Budget!$K$4,0)</f>
        <v>0</v>
      </c>
      <c r="S212" s="17">
        <f>N("Spotify")-IF(AND(DAY($A212)=Budget!$M$5, MONTH($A212)=Budget!$L$5),Budget!$K$5,0)</f>
        <v>0</v>
      </c>
      <c r="T212" s="17">
        <f>N("Amazon Prime")-IF(DAY(A212)=Budget!$Q$3,Budget!$P$3,0)</f>
        <v>0</v>
      </c>
      <c r="U212" s="17">
        <f>N("Audible")-IF(DAY(A212)=Budget!$Q$12,Budget!$P$12,0)</f>
        <v>0</v>
      </c>
      <c r="V212" s="17">
        <f>N("Crunchyroll")-IF(DAY(A212)=Budget!$Q$5,Budget!$P$5,0)</f>
        <v>0</v>
      </c>
      <c r="W212" s="17">
        <f>N("HBO Max")-IF(DAY(A212)=Budget!$Q$6,Budget!$P$6,0)</f>
        <v>0</v>
      </c>
      <c r="X212" s="17">
        <f>N("Netflix")-IF(DAY(A212)=Budget!$Q$7,Budget!$P$7,0)</f>
        <v>0</v>
      </c>
      <c r="Y212" s="17">
        <f>N("Spotify")-IF(DAY(A212)=Budget!$Q$8,Budget!$P$8,0)</f>
        <v>0</v>
      </c>
      <c r="Z212" s="17">
        <f>N("Truebill")-IF(DAY(A212)=Budget!$Q$9,Budget!$P$9,0)</f>
        <v>0</v>
      </c>
      <c r="AA212" s="6">
        <f t="shared" si="24"/>
        <v>0</v>
      </c>
    </row>
    <row r="213" spans="1:27" x14ac:dyDescent="0.3">
      <c r="A213" s="4">
        <f t="shared" si="26"/>
        <v>45845</v>
      </c>
      <c r="B213" s="2">
        <f t="shared" si="25"/>
        <v>1677.6600000000003</v>
      </c>
      <c r="C213" s="7">
        <f t="shared" si="27"/>
        <v>1</v>
      </c>
      <c r="D213" s="1">
        <v>0</v>
      </c>
      <c r="E213" s="17">
        <f>N("PAY-LM")+IF(WEEKDAY(A213)=Budget!$C$3,Budget!$B$3,0)</f>
        <v>0</v>
      </c>
      <c r="F213" s="17">
        <f>N("Rent")-IF(DAY(A213)=Budget!$G$3,Budget!$F$3,0)</f>
        <v>0</v>
      </c>
      <c r="G213" s="17">
        <f>N("Car")-IF(DAY(A213)=Budget!$G$4,Budget!$F$4+Budget!$H$4,0)</f>
        <v>0</v>
      </c>
      <c r="H213" s="17">
        <f>N("Mom Rent")-IF(DAY(A213)=Budget!$G$5,Budget!$F$5,0)</f>
        <v>0</v>
      </c>
      <c r="I213" s="17">
        <f>N("AT&amp;T")-IF(DAY(A213)=Budget!$G$8,Budget!$F$8,0)</f>
        <v>0</v>
      </c>
      <c r="J213" s="17">
        <f>N("GA Power")-IF(DAY(A213)=Budget!$G$9,Budget!$F$9,0)</f>
        <v>0</v>
      </c>
      <c r="K213" s="17">
        <f>N("Haircut")-IF(DAY(A213)=Budget!$G$10,Budget!$F$10,0)</f>
        <v>0</v>
      </c>
      <c r="L213" s="17">
        <f>N("Groceries")-IF(DAY(A213)=Budget!$G$6,Budget!$F$6,0)</f>
        <v>0</v>
      </c>
      <c r="M213" s="17">
        <f>N("Savings")-IF(DAY(A213)=Budget!$G$7,Budget!$F$7,0)</f>
        <v>0</v>
      </c>
      <c r="N213" s="17">
        <f>N("Car Insurance")-COUNTIF(Budget!$G$14, A213)*Budget!$F$14</f>
        <v>0</v>
      </c>
      <c r="O213" s="17">
        <f>N("Phone Bill")-COUNTIF(Budget!$G$15, A213)*Budget!$F$15</f>
        <v>0</v>
      </c>
      <c r="Q213" s="17">
        <f>N("Spotify")-IF(AND(DAY($A213)=Budget!$M$3, MONTH($A213)=Budget!$L$3),Budget!$K$3,0)</f>
        <v>0</v>
      </c>
      <c r="R213" s="17">
        <f>N("Spotify")-IF(AND(DAY($A213)=Budget!$M$4, MONTH($A213)=Budget!$L$4),Budget!$K$4,0)</f>
        <v>0</v>
      </c>
      <c r="S213" s="17">
        <f>N("Spotify")-IF(AND(DAY($A213)=Budget!$M$5, MONTH($A213)=Budget!$L$5),Budget!$K$5,0)</f>
        <v>0</v>
      </c>
      <c r="T213" s="17">
        <f>N("Amazon Prime")-IF(DAY(A213)=Budget!$Q$3,Budget!$P$3,0)</f>
        <v>0</v>
      </c>
      <c r="U213" s="17">
        <f>N("Audible")-IF(DAY(A213)=Budget!$Q$12,Budget!$P$12,0)</f>
        <v>0</v>
      </c>
      <c r="V213" s="17">
        <f>N("Crunchyroll")-IF(DAY(A213)=Budget!$Q$5,Budget!$P$5,0)</f>
        <v>0</v>
      </c>
      <c r="W213" s="17">
        <f>N("HBO Max")-IF(DAY(A213)=Budget!$Q$6,Budget!$P$6,0)</f>
        <v>0</v>
      </c>
      <c r="X213" s="17">
        <f>N("Netflix")-IF(DAY(A213)=Budget!$Q$7,Budget!$P$7,0)</f>
        <v>0</v>
      </c>
      <c r="Y213" s="17">
        <f>N("Spotify")-IF(DAY(A213)=Budget!$Q$8,Budget!$P$8,0)</f>
        <v>0</v>
      </c>
      <c r="Z213" s="17">
        <f>N("Truebill")-IF(DAY(A213)=Budget!$Q$9,Budget!$P$9,0)</f>
        <v>0</v>
      </c>
      <c r="AA213" s="6">
        <f t="shared" si="24"/>
        <v>0</v>
      </c>
    </row>
    <row r="214" spans="1:27" x14ac:dyDescent="0.3">
      <c r="A214" s="4">
        <f t="shared" si="26"/>
        <v>45846</v>
      </c>
      <c r="B214" s="2">
        <f t="shared" si="25"/>
        <v>1658.1900000000003</v>
      </c>
      <c r="C214" s="7">
        <f t="shared" si="27"/>
        <v>0</v>
      </c>
      <c r="D214" s="1">
        <v>0</v>
      </c>
      <c r="E214" s="17">
        <f>N("PAY-LM")+IF(WEEKDAY(A214)=Budget!$C$3,Budget!$B$3,0)</f>
        <v>0</v>
      </c>
      <c r="F214" s="17">
        <f>N("Rent")-IF(DAY(A214)=Budget!$G$3,Budget!$F$3,0)</f>
        <v>0</v>
      </c>
      <c r="G214" s="17">
        <f>N("Car")-IF(DAY(A214)=Budget!$G$4,Budget!$F$4+Budget!$H$4,0)</f>
        <v>0</v>
      </c>
      <c r="H214" s="17">
        <f>N("Mom Rent")-IF(DAY(A214)=Budget!$G$5,Budget!$F$5,0)</f>
        <v>0</v>
      </c>
      <c r="I214" s="17">
        <f>N("AT&amp;T")-IF(DAY(A214)=Budget!$G$8,Budget!$F$8,0)</f>
        <v>0</v>
      </c>
      <c r="J214" s="17">
        <f>N("GA Power")-IF(DAY(A214)=Budget!$G$9,Budget!$F$9,0)</f>
        <v>0</v>
      </c>
      <c r="K214" s="17">
        <f>N("Haircut")-IF(DAY(A214)=Budget!$G$10,Budget!$F$10,0)</f>
        <v>0</v>
      </c>
      <c r="L214" s="17">
        <f>N("Groceries")-IF(DAY(A214)=Budget!$G$6,Budget!$F$6,0)</f>
        <v>0</v>
      </c>
      <c r="M214" s="17">
        <f>N("Savings")-IF(DAY(A214)=Budget!$G$7,Budget!$F$7,0)</f>
        <v>0</v>
      </c>
      <c r="N214" s="17">
        <f>N("Car Insurance")-COUNTIF(Budget!$G$14, A214)*Budget!$F$14</f>
        <v>0</v>
      </c>
      <c r="O214" s="17">
        <f>N("Phone Bill")-COUNTIF(Budget!$G$15, A214)*Budget!$F$15</f>
        <v>0</v>
      </c>
      <c r="Q214" s="17">
        <f>N("Spotify")-IF(AND(DAY($A214)=Budget!$M$3, MONTH($A214)=Budget!$L$3),Budget!$K$3,0)</f>
        <v>0</v>
      </c>
      <c r="R214" s="17">
        <f>N("Spotify")-IF(AND(DAY($A214)=Budget!$M$4, MONTH($A214)=Budget!$L$4),Budget!$K$4,0)</f>
        <v>0</v>
      </c>
      <c r="S214" s="17">
        <f>N("Spotify")-IF(AND(DAY($A214)=Budget!$M$5, MONTH($A214)=Budget!$L$5),Budget!$K$5,0)</f>
        <v>0</v>
      </c>
      <c r="T214" s="17">
        <f>N("Amazon Prime")-IF(DAY(A214)=Budget!$Q$3,Budget!$P$3,0)</f>
        <v>-7.48</v>
      </c>
      <c r="U214" s="17">
        <f>N("Audible")-IF(DAY(A214)=Budget!$Q$12,Budget!$P$12,0)</f>
        <v>0</v>
      </c>
      <c r="V214" s="17">
        <f>N("Crunchyroll")-IF(DAY(A214)=Budget!$Q$5,Budget!$P$5,0)</f>
        <v>0</v>
      </c>
      <c r="W214" s="17">
        <f>N("HBO Max")-IF(DAY(A214)=Budget!$Q$6,Budget!$P$6,0)</f>
        <v>-11.99</v>
      </c>
      <c r="X214" s="17">
        <f>N("Netflix")-IF(DAY(A214)=Budget!$Q$7,Budget!$P$7,0)</f>
        <v>0</v>
      </c>
      <c r="Y214" s="17">
        <f>N("Spotify")-IF(DAY(A214)=Budget!$Q$8,Budget!$P$8,0)</f>
        <v>0</v>
      </c>
      <c r="Z214" s="17">
        <f>N("Truebill")-IF(DAY(A214)=Budget!$Q$9,Budget!$P$9,0)</f>
        <v>0</v>
      </c>
      <c r="AA214" s="6">
        <f t="shared" si="24"/>
        <v>-19.47</v>
      </c>
    </row>
    <row r="215" spans="1:27" x14ac:dyDescent="0.3">
      <c r="A215" s="4">
        <f t="shared" si="26"/>
        <v>45847</v>
      </c>
      <c r="B215" s="2">
        <f t="shared" si="25"/>
        <v>1658.1900000000003</v>
      </c>
      <c r="C215" s="7">
        <f t="shared" si="27"/>
        <v>1</v>
      </c>
      <c r="D215" s="1">
        <v>0</v>
      </c>
      <c r="E215" s="17">
        <f>N("PAY-LM")+IF(WEEKDAY(A215)=Budget!$C$3,Budget!$B$3,0)</f>
        <v>0</v>
      </c>
      <c r="F215" s="17">
        <f>N("Rent")-IF(DAY(A215)=Budget!$G$3,Budget!$F$3,0)</f>
        <v>0</v>
      </c>
      <c r="G215" s="17">
        <f>N("Car")-IF(DAY(A215)=Budget!$G$4,Budget!$F$4+Budget!$H$4,0)</f>
        <v>0</v>
      </c>
      <c r="H215" s="17">
        <f>N("Mom Rent")-IF(DAY(A215)=Budget!$G$5,Budget!$F$5,0)</f>
        <v>0</v>
      </c>
      <c r="I215" s="17">
        <f>N("AT&amp;T")-IF(DAY(A215)=Budget!$G$8,Budget!$F$8,0)</f>
        <v>0</v>
      </c>
      <c r="J215" s="17">
        <f>N("GA Power")-IF(DAY(A215)=Budget!$G$9,Budget!$F$9,0)</f>
        <v>0</v>
      </c>
      <c r="K215" s="17">
        <f>N("Haircut")-IF(DAY(A215)=Budget!$G$10,Budget!$F$10,0)</f>
        <v>0</v>
      </c>
      <c r="L215" s="17">
        <f>N("Groceries")-IF(DAY(A215)=Budget!$G$6,Budget!$F$6,0)</f>
        <v>0</v>
      </c>
      <c r="M215" s="17">
        <f>N("Savings")-IF(DAY(A215)=Budget!$G$7,Budget!$F$7,0)</f>
        <v>0</v>
      </c>
      <c r="N215" s="17">
        <f>N("Car Insurance")-COUNTIF(Budget!$G$14, A215)*Budget!$F$14</f>
        <v>0</v>
      </c>
      <c r="O215" s="17">
        <f>N("Phone Bill")-COUNTIF(Budget!$G$15, A215)*Budget!$F$15</f>
        <v>0</v>
      </c>
      <c r="Q215" s="17">
        <f>N("Spotify")-IF(AND(DAY($A215)=Budget!$M$3, MONTH($A215)=Budget!$L$3),Budget!$K$3,0)</f>
        <v>0</v>
      </c>
      <c r="R215" s="17">
        <f>N("Spotify")-IF(AND(DAY($A215)=Budget!$M$4, MONTH($A215)=Budget!$L$4),Budget!$K$4,0)</f>
        <v>0</v>
      </c>
      <c r="S215" s="17">
        <f>N("Spotify")-IF(AND(DAY($A215)=Budget!$M$5, MONTH($A215)=Budget!$L$5),Budget!$K$5,0)</f>
        <v>0</v>
      </c>
      <c r="T215" s="17">
        <f>N("Amazon Prime")-IF(DAY(A215)=Budget!$Q$3,Budget!$P$3,0)</f>
        <v>0</v>
      </c>
      <c r="U215" s="17">
        <f>N("Audible")-IF(DAY(A215)=Budget!$Q$12,Budget!$P$12,0)</f>
        <v>0</v>
      </c>
      <c r="V215" s="17">
        <f>N("Crunchyroll")-IF(DAY(A215)=Budget!$Q$5,Budget!$P$5,0)</f>
        <v>0</v>
      </c>
      <c r="W215" s="17">
        <f>N("HBO Max")-IF(DAY(A215)=Budget!$Q$6,Budget!$P$6,0)</f>
        <v>0</v>
      </c>
      <c r="X215" s="17">
        <f>N("Netflix")-IF(DAY(A215)=Budget!$Q$7,Budget!$P$7,0)</f>
        <v>0</v>
      </c>
      <c r="Y215" s="17">
        <f>N("Spotify")-IF(DAY(A215)=Budget!$Q$8,Budget!$P$8,0)</f>
        <v>0</v>
      </c>
      <c r="Z215" s="17">
        <f>N("Truebill")-IF(DAY(A215)=Budget!$Q$9,Budget!$P$9,0)</f>
        <v>0</v>
      </c>
      <c r="AA215" s="6">
        <f t="shared" si="24"/>
        <v>0</v>
      </c>
    </row>
    <row r="216" spans="1:27" x14ac:dyDescent="0.3">
      <c r="A216" s="4">
        <f t="shared" si="26"/>
        <v>45848</v>
      </c>
      <c r="B216" s="2">
        <f t="shared" si="25"/>
        <v>1658.1900000000003</v>
      </c>
      <c r="C216" s="7">
        <f t="shared" si="27"/>
        <v>1</v>
      </c>
      <c r="D216" s="1">
        <v>0</v>
      </c>
      <c r="E216" s="17">
        <f>N("PAY-LM")+IF(WEEKDAY(A216)=Budget!$C$3,Budget!$B$3,0)</f>
        <v>0</v>
      </c>
      <c r="F216" s="17">
        <f>N("Rent")-IF(DAY(A216)=Budget!$G$3,Budget!$F$3,0)</f>
        <v>0</v>
      </c>
      <c r="G216" s="17">
        <f>N("Car")-IF(DAY(A216)=Budget!$G$4,Budget!$F$4+Budget!$H$4,0)</f>
        <v>0</v>
      </c>
      <c r="H216" s="17">
        <f>N("Mom Rent")-IF(DAY(A216)=Budget!$G$5,Budget!$F$5,0)</f>
        <v>0</v>
      </c>
      <c r="I216" s="17">
        <f>N("AT&amp;T")-IF(DAY(A216)=Budget!$G$8,Budget!$F$8,0)</f>
        <v>0</v>
      </c>
      <c r="J216" s="17">
        <f>N("GA Power")-IF(DAY(A216)=Budget!$G$9,Budget!$F$9,0)</f>
        <v>0</v>
      </c>
      <c r="K216" s="17">
        <f>N("Haircut")-IF(DAY(A216)=Budget!$G$10,Budget!$F$10,0)</f>
        <v>0</v>
      </c>
      <c r="L216" s="17">
        <f>N("Groceries")-IF(DAY(A216)=Budget!$G$6,Budget!$F$6,0)</f>
        <v>0</v>
      </c>
      <c r="M216" s="17">
        <f>N("Savings")-IF(DAY(A216)=Budget!$G$7,Budget!$F$7,0)</f>
        <v>0</v>
      </c>
      <c r="N216" s="17">
        <f>N("Car Insurance")-COUNTIF(Budget!$G$14, A216)*Budget!$F$14</f>
        <v>0</v>
      </c>
      <c r="O216" s="17">
        <f>N("Phone Bill")-COUNTIF(Budget!$G$15, A216)*Budget!$F$15</f>
        <v>0</v>
      </c>
      <c r="Q216" s="17">
        <f>N("Spotify")-IF(AND(DAY($A216)=Budget!$M$3, MONTH($A216)=Budget!$L$3),Budget!$K$3,0)</f>
        <v>0</v>
      </c>
      <c r="R216" s="17">
        <f>N("Spotify")-IF(AND(DAY($A216)=Budget!$M$4, MONTH($A216)=Budget!$L$4),Budget!$K$4,0)</f>
        <v>0</v>
      </c>
      <c r="S216" s="17">
        <f>N("Spotify")-IF(AND(DAY($A216)=Budget!$M$5, MONTH($A216)=Budget!$L$5),Budget!$K$5,0)</f>
        <v>0</v>
      </c>
      <c r="T216" s="17">
        <f>N("Amazon Prime")-IF(DAY(A216)=Budget!$Q$3,Budget!$P$3,0)</f>
        <v>0</v>
      </c>
      <c r="U216" s="17">
        <f>N("Audible")-IF(DAY(A216)=Budget!$Q$12,Budget!$P$12,0)</f>
        <v>0</v>
      </c>
      <c r="V216" s="17">
        <f>N("Crunchyroll")-IF(DAY(A216)=Budget!$Q$5,Budget!$P$5,0)</f>
        <v>0</v>
      </c>
      <c r="W216" s="17">
        <f>N("HBO Max")-IF(DAY(A216)=Budget!$Q$6,Budget!$P$6,0)</f>
        <v>0</v>
      </c>
      <c r="X216" s="17">
        <f>N("Netflix")-IF(DAY(A216)=Budget!$Q$7,Budget!$P$7,0)</f>
        <v>0</v>
      </c>
      <c r="Y216" s="17">
        <f>N("Spotify")-IF(DAY(A216)=Budget!$Q$8,Budget!$P$8,0)</f>
        <v>0</v>
      </c>
      <c r="Z216" s="17">
        <f>N("Truebill")-IF(DAY(A216)=Budget!$Q$9,Budget!$P$9,0)</f>
        <v>0</v>
      </c>
      <c r="AA216" s="6">
        <f t="shared" si="24"/>
        <v>0</v>
      </c>
    </row>
    <row r="217" spans="1:27" x14ac:dyDescent="0.3">
      <c r="A217" s="4">
        <f t="shared" si="26"/>
        <v>45849</v>
      </c>
      <c r="B217" s="2">
        <f t="shared" si="25"/>
        <v>3111.1900000000005</v>
      </c>
      <c r="C217" s="7">
        <f t="shared" si="27"/>
        <v>2</v>
      </c>
      <c r="D217" s="1">
        <v>0</v>
      </c>
      <c r="E217" s="17">
        <f>N("PAY-LM")+IF(WEEKDAY(A217)=Budget!$C$3,Budget!$B$3,0)</f>
        <v>1453</v>
      </c>
      <c r="F217" s="17">
        <f>N("Rent")-IF(DAY(A217)=Budget!$G$3,Budget!$F$3,0)</f>
        <v>0</v>
      </c>
      <c r="G217" s="17">
        <f>N("Car")-IF(DAY(A217)=Budget!$G$4,Budget!$F$4+Budget!$H$4,0)</f>
        <v>0</v>
      </c>
      <c r="H217" s="17">
        <f>N("Mom Rent")-IF(DAY(A217)=Budget!$G$5,Budget!$F$5,0)</f>
        <v>0</v>
      </c>
      <c r="I217" s="17">
        <f>N("AT&amp;T")-IF(DAY(A217)=Budget!$G$8,Budget!$F$8,0)</f>
        <v>0</v>
      </c>
      <c r="J217" s="17">
        <f>N("GA Power")-IF(DAY(A217)=Budget!$G$9,Budget!$F$9,0)</f>
        <v>0</v>
      </c>
      <c r="K217" s="17">
        <f>N("Haircut")-IF(DAY(A217)=Budget!$G$10,Budget!$F$10,0)</f>
        <v>0</v>
      </c>
      <c r="L217" s="17">
        <f>N("Groceries")-IF(DAY(A217)=Budget!$G$6,Budget!$F$6,0)</f>
        <v>0</v>
      </c>
      <c r="M217" s="17">
        <f>N("Savings")-IF(DAY(A217)=Budget!$G$7,Budget!$F$7,0)</f>
        <v>0</v>
      </c>
      <c r="N217" s="17">
        <f>N("Car Insurance")-COUNTIF(Budget!$G$14, A217)*Budget!$F$14</f>
        <v>0</v>
      </c>
      <c r="O217" s="17">
        <f>N("Phone Bill")-COUNTIF(Budget!$G$15, A217)*Budget!$F$15</f>
        <v>0</v>
      </c>
      <c r="Q217" s="17">
        <f>N("Spotify")-IF(AND(DAY($A217)=Budget!$M$3, MONTH($A217)=Budget!$L$3),Budget!$K$3,0)</f>
        <v>0</v>
      </c>
      <c r="R217" s="17">
        <f>N("Spotify")-IF(AND(DAY($A217)=Budget!$M$4, MONTH($A217)=Budget!$L$4),Budget!$K$4,0)</f>
        <v>0</v>
      </c>
      <c r="S217" s="17">
        <f>N("Spotify")-IF(AND(DAY($A217)=Budget!$M$5, MONTH($A217)=Budget!$L$5),Budget!$K$5,0)</f>
        <v>0</v>
      </c>
      <c r="T217" s="17">
        <f>N("Amazon Prime")-IF(DAY(A217)=Budget!$Q$3,Budget!$P$3,0)</f>
        <v>0</v>
      </c>
      <c r="U217" s="17">
        <f>N("Audible")-IF(DAY(A217)=Budget!$Q$12,Budget!$P$12,0)</f>
        <v>0</v>
      </c>
      <c r="V217" s="17">
        <f>N("Crunchyroll")-IF(DAY(A217)=Budget!$Q$5,Budget!$P$5,0)</f>
        <v>0</v>
      </c>
      <c r="W217" s="17">
        <f>N("HBO Max")-IF(DAY(A217)=Budget!$Q$6,Budget!$P$6,0)</f>
        <v>0</v>
      </c>
      <c r="X217" s="17">
        <f>N("Netflix")-IF(DAY(A217)=Budget!$Q$7,Budget!$P$7,0)</f>
        <v>0</v>
      </c>
      <c r="Y217" s="17">
        <f>N("Spotify")-IF(DAY(A217)=Budget!$Q$8,Budget!$P$8,0)</f>
        <v>0</v>
      </c>
      <c r="Z217" s="17">
        <f>N("Truebill")-IF(DAY(A217)=Budget!$Q$9,Budget!$P$9,0)</f>
        <v>0</v>
      </c>
      <c r="AA217" s="6">
        <f t="shared" si="24"/>
        <v>1453</v>
      </c>
    </row>
    <row r="218" spans="1:27" x14ac:dyDescent="0.3">
      <c r="A218" s="4">
        <f t="shared" si="26"/>
        <v>45850</v>
      </c>
      <c r="B218" s="2">
        <f t="shared" si="25"/>
        <v>3105.1900000000005</v>
      </c>
      <c r="C218" s="7">
        <f t="shared" si="27"/>
        <v>0</v>
      </c>
      <c r="D218" s="1">
        <v>0</v>
      </c>
      <c r="E218" s="17">
        <f>N("PAY-LM")+IF(WEEKDAY(A218)=Budget!$C$3,Budget!$B$3,0)</f>
        <v>0</v>
      </c>
      <c r="F218" s="17">
        <f>N("Rent")-IF(DAY(A218)=Budget!$G$3,Budget!$F$3,0)</f>
        <v>0</v>
      </c>
      <c r="G218" s="17">
        <f>N("Car")-IF(DAY(A218)=Budget!$G$4,Budget!$F$4+Budget!$H$4,0)</f>
        <v>0</v>
      </c>
      <c r="H218" s="17">
        <f>N("Mom Rent")-IF(DAY(A218)=Budget!$G$5,Budget!$F$5,0)</f>
        <v>0</v>
      </c>
      <c r="I218" s="17">
        <f>N("AT&amp;T")-IF(DAY(A218)=Budget!$G$8,Budget!$F$8,0)</f>
        <v>0</v>
      </c>
      <c r="J218" s="17">
        <f>N("GA Power")-IF(DAY(A218)=Budget!$G$9,Budget!$F$9,0)</f>
        <v>0</v>
      </c>
      <c r="K218" s="17">
        <f>N("Haircut")-IF(DAY(A218)=Budget!$G$10,Budget!$F$10,0)</f>
        <v>0</v>
      </c>
      <c r="L218" s="17">
        <f>N("Groceries")-IF(DAY(A218)=Budget!$G$6,Budget!$F$6,0)</f>
        <v>0</v>
      </c>
      <c r="M218" s="17">
        <f>N("Savings")-IF(DAY(A218)=Budget!$G$7,Budget!$F$7,0)</f>
        <v>0</v>
      </c>
      <c r="N218" s="17">
        <f>N("Car Insurance")-COUNTIF(Budget!$G$14, A218)*Budget!$F$14</f>
        <v>0</v>
      </c>
      <c r="O218" s="17">
        <f>N("Phone Bill")-COUNTIF(Budget!$G$15, A218)*Budget!$F$15</f>
        <v>0</v>
      </c>
      <c r="Q218" s="17">
        <f>N("Spotify")-IF(AND(DAY($A218)=Budget!$M$3, MONTH($A218)=Budget!$L$3),Budget!$K$3,0)</f>
        <v>0</v>
      </c>
      <c r="R218" s="17">
        <f>N("Spotify")-IF(AND(DAY($A218)=Budget!$M$4, MONTH($A218)=Budget!$L$4),Budget!$K$4,0)</f>
        <v>0</v>
      </c>
      <c r="S218" s="17">
        <f>N("Spotify")-IF(AND(DAY($A218)=Budget!$M$5, MONTH($A218)=Budget!$L$5),Budget!$K$5,0)</f>
        <v>0</v>
      </c>
      <c r="T218" s="17">
        <f>N("Amazon Prime")-IF(DAY(A218)=Budget!$Q$3,Budget!$P$3,0)</f>
        <v>0</v>
      </c>
      <c r="U218" s="17">
        <f>N("Audible")-IF(DAY(A218)=Budget!$Q$12,Budget!$P$12,0)</f>
        <v>0</v>
      </c>
      <c r="V218" s="17">
        <f>N("Crunchyroll")-IF(DAY(A218)=Budget!$Q$5,Budget!$P$5,0)</f>
        <v>0</v>
      </c>
      <c r="W218" s="17">
        <f>N("HBO Max")-IF(DAY(A218)=Budget!$Q$6,Budget!$P$6,0)</f>
        <v>0</v>
      </c>
      <c r="X218" s="17">
        <f>N("Netflix")-IF(DAY(A218)=Budget!$Q$7,Budget!$P$7,0)</f>
        <v>-6</v>
      </c>
      <c r="Y218" s="17">
        <f>N("Spotify")-IF(DAY(A218)=Budget!$Q$8,Budget!$P$8,0)</f>
        <v>0</v>
      </c>
      <c r="Z218" s="17">
        <f>N("Truebill")-IF(DAY(A218)=Budget!$Q$9,Budget!$P$9,0)</f>
        <v>0</v>
      </c>
      <c r="AA218" s="6">
        <f t="shared" si="24"/>
        <v>-6</v>
      </c>
    </row>
    <row r="219" spans="1:27" x14ac:dyDescent="0.3">
      <c r="A219" s="4">
        <f t="shared" si="26"/>
        <v>45851</v>
      </c>
      <c r="B219" s="2">
        <f t="shared" si="25"/>
        <v>3105.1900000000005</v>
      </c>
      <c r="C219" s="7">
        <f t="shared" si="27"/>
        <v>1</v>
      </c>
      <c r="D219" s="1">
        <v>0</v>
      </c>
      <c r="E219" s="17">
        <f>N("PAY-LM")+IF(WEEKDAY(A219)=Budget!$C$3,Budget!$B$3,0)</f>
        <v>0</v>
      </c>
      <c r="F219" s="17">
        <f>N("Rent")-IF(DAY(A219)=Budget!$G$3,Budget!$F$3,0)</f>
        <v>0</v>
      </c>
      <c r="G219" s="17">
        <f>N("Car")-IF(DAY(A219)=Budget!$G$4,Budget!$F$4+Budget!$H$4,0)</f>
        <v>0</v>
      </c>
      <c r="H219" s="17">
        <f>N("Mom Rent")-IF(DAY(A219)=Budget!$G$5,Budget!$F$5,0)</f>
        <v>0</v>
      </c>
      <c r="I219" s="17">
        <f>N("AT&amp;T")-IF(DAY(A219)=Budget!$G$8,Budget!$F$8,0)</f>
        <v>0</v>
      </c>
      <c r="J219" s="17">
        <f>N("GA Power")-IF(DAY(A219)=Budget!$G$9,Budget!$F$9,0)</f>
        <v>0</v>
      </c>
      <c r="K219" s="17">
        <f>N("Haircut")-IF(DAY(A219)=Budget!$G$10,Budget!$F$10,0)</f>
        <v>0</v>
      </c>
      <c r="L219" s="17">
        <f>N("Groceries")-IF(DAY(A219)=Budget!$G$6,Budget!$F$6,0)</f>
        <v>0</v>
      </c>
      <c r="M219" s="17">
        <f>N("Savings")-IF(DAY(A219)=Budget!$G$7,Budget!$F$7,0)</f>
        <v>0</v>
      </c>
      <c r="N219" s="17">
        <f>N("Car Insurance")-COUNTIF(Budget!$G$14, A219)*Budget!$F$14</f>
        <v>0</v>
      </c>
      <c r="O219" s="17">
        <f>N("Phone Bill")-COUNTIF(Budget!$G$15, A219)*Budget!$F$15</f>
        <v>0</v>
      </c>
      <c r="Q219" s="17">
        <f>N("Spotify")-IF(AND(DAY($A219)=Budget!$M$3, MONTH($A219)=Budget!$L$3),Budget!$K$3,0)</f>
        <v>0</v>
      </c>
      <c r="R219" s="17">
        <f>N("Spotify")-IF(AND(DAY($A219)=Budget!$M$4, MONTH($A219)=Budget!$L$4),Budget!$K$4,0)</f>
        <v>0</v>
      </c>
      <c r="S219" s="17">
        <f>N("Spotify")-IF(AND(DAY($A219)=Budget!$M$5, MONTH($A219)=Budget!$L$5),Budget!$K$5,0)</f>
        <v>0</v>
      </c>
      <c r="T219" s="17">
        <f>N("Amazon Prime")-IF(DAY(A219)=Budget!$Q$3,Budget!$P$3,0)</f>
        <v>0</v>
      </c>
      <c r="U219" s="17">
        <f>N("Audible")-IF(DAY(A219)=Budget!$Q$12,Budget!$P$12,0)</f>
        <v>0</v>
      </c>
      <c r="V219" s="17">
        <f>N("Crunchyroll")-IF(DAY(A219)=Budget!$Q$5,Budget!$P$5,0)</f>
        <v>0</v>
      </c>
      <c r="W219" s="17">
        <f>N("HBO Max")-IF(DAY(A219)=Budget!$Q$6,Budget!$P$6,0)</f>
        <v>0</v>
      </c>
      <c r="X219" s="17">
        <f>N("Netflix")-IF(DAY(A219)=Budget!$Q$7,Budget!$P$7,0)</f>
        <v>0</v>
      </c>
      <c r="Y219" s="17">
        <f>N("Spotify")-IF(DAY(A219)=Budget!$Q$8,Budget!$P$8,0)</f>
        <v>0</v>
      </c>
      <c r="Z219" s="17">
        <f>N("Truebill")-IF(DAY(A219)=Budget!$Q$9,Budget!$P$9,0)</f>
        <v>0</v>
      </c>
      <c r="AA219" s="6">
        <f t="shared" si="24"/>
        <v>0</v>
      </c>
    </row>
    <row r="220" spans="1:27" x14ac:dyDescent="0.3">
      <c r="A220" s="4">
        <f t="shared" si="26"/>
        <v>45852</v>
      </c>
      <c r="B220" s="2">
        <f t="shared" si="25"/>
        <v>3105.1900000000005</v>
      </c>
      <c r="C220" s="7">
        <f t="shared" si="27"/>
        <v>1</v>
      </c>
      <c r="D220" s="1">
        <v>0</v>
      </c>
      <c r="E220" s="17">
        <f>N("PAY-LM")+IF(WEEKDAY(A220)=Budget!$C$3,Budget!$B$3,0)</f>
        <v>0</v>
      </c>
      <c r="F220" s="17">
        <f>N("Rent")-IF(DAY(A220)=Budget!$G$3,Budget!$F$3,0)</f>
        <v>0</v>
      </c>
      <c r="G220" s="17">
        <f>N("Car")-IF(DAY(A220)=Budget!$G$4,Budget!$F$4+Budget!$H$4,0)</f>
        <v>0</v>
      </c>
      <c r="H220" s="17">
        <f>N("Mom Rent")-IF(DAY(A220)=Budget!$G$5,Budget!$F$5,0)</f>
        <v>0</v>
      </c>
      <c r="I220" s="17">
        <f>N("AT&amp;T")-IF(DAY(A220)=Budget!$G$8,Budget!$F$8,0)</f>
        <v>0</v>
      </c>
      <c r="J220" s="17">
        <f>N("GA Power")-IF(DAY(A220)=Budget!$G$9,Budget!$F$9,0)</f>
        <v>0</v>
      </c>
      <c r="K220" s="17">
        <f>N("Haircut")-IF(DAY(A220)=Budget!$G$10,Budget!$F$10,0)</f>
        <v>0</v>
      </c>
      <c r="L220" s="17">
        <f>N("Groceries")-IF(DAY(A220)=Budget!$G$6,Budget!$F$6,0)</f>
        <v>0</v>
      </c>
      <c r="M220" s="17">
        <f>N("Savings")-IF(DAY(A220)=Budget!$G$7,Budget!$F$7,0)</f>
        <v>0</v>
      </c>
      <c r="N220" s="17">
        <f>N("Car Insurance")-COUNTIF(Budget!$G$14, A220)*Budget!$F$14</f>
        <v>0</v>
      </c>
      <c r="O220" s="17">
        <f>N("Phone Bill")-COUNTIF(Budget!$G$15, A220)*Budget!$F$15</f>
        <v>0</v>
      </c>
      <c r="Q220" s="17">
        <f>N("Spotify")-IF(AND(DAY($A220)=Budget!$M$3, MONTH($A220)=Budget!$L$3),Budget!$K$3,0)</f>
        <v>0</v>
      </c>
      <c r="R220" s="17">
        <f>N("Spotify")-IF(AND(DAY($A220)=Budget!$M$4, MONTH($A220)=Budget!$L$4),Budget!$K$4,0)</f>
        <v>0</v>
      </c>
      <c r="S220" s="17">
        <f>N("Spotify")-IF(AND(DAY($A220)=Budget!$M$5, MONTH($A220)=Budget!$L$5),Budget!$K$5,0)</f>
        <v>0</v>
      </c>
      <c r="T220" s="17">
        <f>N("Amazon Prime")-IF(DAY(A220)=Budget!$Q$3,Budget!$P$3,0)</f>
        <v>0</v>
      </c>
      <c r="U220" s="17">
        <f>N("Audible")-IF(DAY(A220)=Budget!$Q$12,Budget!$P$12,0)</f>
        <v>0</v>
      </c>
      <c r="V220" s="17">
        <f>N("Crunchyroll")-IF(DAY(A220)=Budget!$Q$5,Budget!$P$5,0)</f>
        <v>0</v>
      </c>
      <c r="W220" s="17">
        <f>N("HBO Max")-IF(DAY(A220)=Budget!$Q$6,Budget!$P$6,0)</f>
        <v>0</v>
      </c>
      <c r="X220" s="17">
        <f>N("Netflix")-IF(DAY(A220)=Budget!$Q$7,Budget!$P$7,0)</f>
        <v>0</v>
      </c>
      <c r="Y220" s="17">
        <f>N("Spotify")-IF(DAY(A220)=Budget!$Q$8,Budget!$P$8,0)</f>
        <v>0</v>
      </c>
      <c r="Z220" s="17">
        <f>N("Truebill")-IF(DAY(A220)=Budget!$Q$9,Budget!$P$9,0)</f>
        <v>0</v>
      </c>
      <c r="AA220" s="6">
        <f t="shared" si="24"/>
        <v>0</v>
      </c>
    </row>
    <row r="221" spans="1:27" x14ac:dyDescent="0.3">
      <c r="A221" s="4">
        <f t="shared" si="26"/>
        <v>45853</v>
      </c>
      <c r="B221" s="2">
        <f t="shared" si="25"/>
        <v>3105.1900000000005</v>
      </c>
      <c r="C221" s="7">
        <f t="shared" si="27"/>
        <v>1</v>
      </c>
      <c r="D221" s="1">
        <v>0</v>
      </c>
      <c r="E221" s="17">
        <f>N("PAY-LM")+IF(WEEKDAY(A221)=Budget!$C$3,Budget!$B$3,0)</f>
        <v>0</v>
      </c>
      <c r="F221" s="17">
        <f>N("Rent")-IF(DAY(A221)=Budget!$G$3,Budget!$F$3,0)</f>
        <v>0</v>
      </c>
      <c r="G221" s="17">
        <f>N("Car")-IF(DAY(A221)=Budget!$G$4,Budget!$F$4+Budget!$H$4,0)</f>
        <v>0</v>
      </c>
      <c r="H221" s="17">
        <f>N("Mom Rent")-IF(DAY(A221)=Budget!$G$5,Budget!$F$5,0)</f>
        <v>0</v>
      </c>
      <c r="I221" s="17">
        <f>N("AT&amp;T")-IF(DAY(A221)=Budget!$G$8,Budget!$F$8,0)</f>
        <v>0</v>
      </c>
      <c r="J221" s="17">
        <f>N("GA Power")-IF(DAY(A221)=Budget!$G$9,Budget!$F$9,0)</f>
        <v>0</v>
      </c>
      <c r="K221" s="17">
        <f>N("Haircut")-IF(DAY(A221)=Budget!$G$10,Budget!$F$10,0)</f>
        <v>0</v>
      </c>
      <c r="L221" s="17">
        <f>N("Groceries")-IF(DAY(A221)=Budget!$G$6,Budget!$F$6,0)</f>
        <v>0</v>
      </c>
      <c r="M221" s="17">
        <f>N("Savings")-IF(DAY(A221)=Budget!$G$7,Budget!$F$7,0)</f>
        <v>0</v>
      </c>
      <c r="N221" s="17">
        <f>N("Car Insurance")-COUNTIF(Budget!$G$14, A221)*Budget!$F$14</f>
        <v>0</v>
      </c>
      <c r="O221" s="17">
        <f>N("Phone Bill")-COUNTIF(Budget!$G$15, A221)*Budget!$F$15</f>
        <v>0</v>
      </c>
      <c r="Q221" s="17">
        <f>N("Spotify")-IF(AND(DAY($A221)=Budget!$M$3, MONTH($A221)=Budget!$L$3),Budget!$K$3,0)</f>
        <v>0</v>
      </c>
      <c r="R221" s="17">
        <f>N("Spotify")-IF(AND(DAY($A221)=Budget!$M$4, MONTH($A221)=Budget!$L$4),Budget!$K$4,0)</f>
        <v>0</v>
      </c>
      <c r="S221" s="17">
        <f>N("Spotify")-IF(AND(DAY($A221)=Budget!$M$5, MONTH($A221)=Budget!$L$5),Budget!$K$5,0)</f>
        <v>0</v>
      </c>
      <c r="T221" s="17">
        <f>N("Amazon Prime")-IF(DAY(A221)=Budget!$Q$3,Budget!$P$3,0)</f>
        <v>0</v>
      </c>
      <c r="U221" s="17">
        <f>N("Audible")-IF(DAY(A221)=Budget!$Q$12,Budget!$P$12,0)</f>
        <v>0</v>
      </c>
      <c r="V221" s="17">
        <f>N("Crunchyroll")-IF(DAY(A221)=Budget!$Q$5,Budget!$P$5,0)</f>
        <v>0</v>
      </c>
      <c r="W221" s="17">
        <f>N("HBO Max")-IF(DAY(A221)=Budget!$Q$6,Budget!$P$6,0)</f>
        <v>0</v>
      </c>
      <c r="X221" s="17">
        <f>N("Netflix")-IF(DAY(A221)=Budget!$Q$7,Budget!$P$7,0)</f>
        <v>0</v>
      </c>
      <c r="Y221" s="17">
        <f>N("Spotify")-IF(DAY(A221)=Budget!$Q$8,Budget!$P$8,0)</f>
        <v>0</v>
      </c>
      <c r="Z221" s="17">
        <f>N("Truebill")-IF(DAY(A221)=Budget!$Q$9,Budget!$P$9,0)</f>
        <v>0</v>
      </c>
      <c r="AA221" s="6">
        <f t="shared" si="24"/>
        <v>0</v>
      </c>
    </row>
    <row r="222" spans="1:27" x14ac:dyDescent="0.3">
      <c r="A222" s="4">
        <f t="shared" si="26"/>
        <v>45854</v>
      </c>
      <c r="B222" s="2">
        <f t="shared" si="25"/>
        <v>3105.1900000000005</v>
      </c>
      <c r="C222" s="7">
        <f t="shared" si="27"/>
        <v>1</v>
      </c>
      <c r="D222" s="1">
        <v>0</v>
      </c>
      <c r="E222" s="17">
        <f>N("PAY-LM")+IF(WEEKDAY(A222)=Budget!$C$3,Budget!$B$3,0)</f>
        <v>0</v>
      </c>
      <c r="F222" s="17">
        <f>N("Rent")-IF(DAY(A222)=Budget!$G$3,Budget!$F$3,0)</f>
        <v>0</v>
      </c>
      <c r="G222" s="17">
        <f>N("Car")-IF(DAY(A222)=Budget!$G$4,Budget!$F$4+Budget!$H$4,0)</f>
        <v>0</v>
      </c>
      <c r="H222" s="17">
        <f>N("Mom Rent")-IF(DAY(A222)=Budget!$G$5,Budget!$F$5,0)</f>
        <v>0</v>
      </c>
      <c r="I222" s="17">
        <f>N("AT&amp;T")-IF(DAY(A222)=Budget!$G$8,Budget!$F$8,0)</f>
        <v>0</v>
      </c>
      <c r="J222" s="17">
        <f>N("GA Power")-IF(DAY(A222)=Budget!$G$9,Budget!$F$9,0)</f>
        <v>0</v>
      </c>
      <c r="K222" s="17">
        <f>N("Haircut")-IF(DAY(A222)=Budget!$G$10,Budget!$F$10,0)</f>
        <v>0</v>
      </c>
      <c r="L222" s="17">
        <f>N("Groceries")-IF(DAY(A222)=Budget!$G$6,Budget!$F$6,0)</f>
        <v>0</v>
      </c>
      <c r="M222" s="17">
        <f>N("Savings")-IF(DAY(A222)=Budget!$G$7,Budget!$F$7,0)</f>
        <v>0</v>
      </c>
      <c r="N222" s="17">
        <f>N("Car Insurance")-COUNTIF(Budget!$G$14, A222)*Budget!$F$14</f>
        <v>0</v>
      </c>
      <c r="O222" s="17">
        <f>N("Phone Bill")-COUNTIF(Budget!$G$15, A222)*Budget!$F$15</f>
        <v>0</v>
      </c>
      <c r="Q222" s="17">
        <f>N("Spotify")-IF(AND(DAY($A222)=Budget!$M$3, MONTH($A222)=Budget!$L$3),Budget!$K$3,0)</f>
        <v>0</v>
      </c>
      <c r="R222" s="17">
        <f>N("Spotify")-IF(AND(DAY($A222)=Budget!$M$4, MONTH($A222)=Budget!$L$4),Budget!$K$4,0)</f>
        <v>0</v>
      </c>
      <c r="S222" s="17">
        <f>N("Spotify")-IF(AND(DAY($A222)=Budget!$M$5, MONTH($A222)=Budget!$L$5),Budget!$K$5,0)</f>
        <v>0</v>
      </c>
      <c r="T222" s="17">
        <f>N("Amazon Prime")-IF(DAY(A222)=Budget!$Q$3,Budget!$P$3,0)</f>
        <v>0</v>
      </c>
      <c r="U222" s="17">
        <f>N("Audible")-IF(DAY(A222)=Budget!$Q$12,Budget!$P$12,0)</f>
        <v>0</v>
      </c>
      <c r="V222" s="17">
        <f>N("Crunchyroll")-IF(DAY(A222)=Budget!$Q$5,Budget!$P$5,0)</f>
        <v>0</v>
      </c>
      <c r="W222" s="17">
        <f>N("HBO Max")-IF(DAY(A222)=Budget!$Q$6,Budget!$P$6,0)</f>
        <v>0</v>
      </c>
      <c r="X222" s="17">
        <f>N("Netflix")-IF(DAY(A222)=Budget!$Q$7,Budget!$P$7,0)</f>
        <v>0</v>
      </c>
      <c r="Y222" s="17">
        <f>N("Spotify")-IF(DAY(A222)=Budget!$Q$8,Budget!$P$8,0)</f>
        <v>0</v>
      </c>
      <c r="Z222" s="17">
        <f>N("Truebill")-IF(DAY(A222)=Budget!$Q$9,Budget!$P$9,0)</f>
        <v>0</v>
      </c>
      <c r="AA222" s="6">
        <f t="shared" si="24"/>
        <v>0</v>
      </c>
    </row>
    <row r="223" spans="1:27" x14ac:dyDescent="0.3">
      <c r="A223" s="4">
        <f t="shared" si="26"/>
        <v>45855</v>
      </c>
      <c r="B223" s="2">
        <f t="shared" si="25"/>
        <v>3105.1900000000005</v>
      </c>
      <c r="C223" s="7">
        <f t="shared" si="27"/>
        <v>1</v>
      </c>
      <c r="D223" s="1">
        <v>0</v>
      </c>
      <c r="E223" s="17">
        <f>N("PAY-LM")+IF(WEEKDAY(A223)=Budget!$C$3,Budget!$B$3,0)</f>
        <v>0</v>
      </c>
      <c r="F223" s="17">
        <f>N("Rent")-IF(DAY(A223)=Budget!$G$3,Budget!$F$3,0)</f>
        <v>0</v>
      </c>
      <c r="G223" s="17">
        <f>N("Car")-IF(DAY(A223)=Budget!$G$4,Budget!$F$4+Budget!$H$4,0)</f>
        <v>0</v>
      </c>
      <c r="H223" s="17">
        <f>N("Mom Rent")-IF(DAY(A223)=Budget!$G$5,Budget!$F$5,0)</f>
        <v>0</v>
      </c>
      <c r="I223" s="17">
        <f>N("AT&amp;T")-IF(DAY(A223)=Budget!$G$8,Budget!$F$8,0)</f>
        <v>0</v>
      </c>
      <c r="J223" s="17">
        <f>N("GA Power")-IF(DAY(A223)=Budget!$G$9,Budget!$F$9,0)</f>
        <v>0</v>
      </c>
      <c r="K223" s="17">
        <f>N("Haircut")-IF(DAY(A223)=Budget!$G$10,Budget!$F$10,0)</f>
        <v>0</v>
      </c>
      <c r="L223" s="17">
        <f>N("Groceries")-IF(DAY(A223)=Budget!$G$6,Budget!$F$6,0)</f>
        <v>0</v>
      </c>
      <c r="M223" s="17">
        <f>N("Savings")-IF(DAY(A223)=Budget!$G$7,Budget!$F$7,0)</f>
        <v>0</v>
      </c>
      <c r="N223" s="17">
        <f>N("Car Insurance")-COUNTIF(Budget!$G$14, A223)*Budget!$F$14</f>
        <v>0</v>
      </c>
      <c r="O223" s="17">
        <f>N("Phone Bill")-COUNTIF(Budget!$G$15, A223)*Budget!$F$15</f>
        <v>0</v>
      </c>
      <c r="Q223" s="17">
        <f>N("Spotify")-IF(AND(DAY($A223)=Budget!$M$3, MONTH($A223)=Budget!$L$3),Budget!$K$3,0)</f>
        <v>0</v>
      </c>
      <c r="R223" s="17">
        <f>N("Spotify")-IF(AND(DAY($A223)=Budget!$M$4, MONTH($A223)=Budget!$L$4),Budget!$K$4,0)</f>
        <v>0</v>
      </c>
      <c r="S223" s="17">
        <f>N("Spotify")-IF(AND(DAY($A223)=Budget!$M$5, MONTH($A223)=Budget!$L$5),Budget!$K$5,0)</f>
        <v>0</v>
      </c>
      <c r="T223" s="17">
        <f>N("Amazon Prime")-IF(DAY(A223)=Budget!$Q$3,Budget!$P$3,0)</f>
        <v>0</v>
      </c>
      <c r="U223" s="17">
        <f>N("Audible")-IF(DAY(A223)=Budget!$Q$12,Budget!$P$12,0)</f>
        <v>0</v>
      </c>
      <c r="V223" s="17">
        <f>N("Crunchyroll")-IF(DAY(A223)=Budget!$Q$5,Budget!$P$5,0)</f>
        <v>0</v>
      </c>
      <c r="W223" s="17">
        <f>N("HBO Max")-IF(DAY(A223)=Budget!$Q$6,Budget!$P$6,0)</f>
        <v>0</v>
      </c>
      <c r="X223" s="17">
        <f>N("Netflix")-IF(DAY(A223)=Budget!$Q$7,Budget!$P$7,0)</f>
        <v>0</v>
      </c>
      <c r="Y223" s="17">
        <f>N("Spotify")-IF(DAY(A223)=Budget!$Q$8,Budget!$P$8,0)</f>
        <v>0</v>
      </c>
      <c r="Z223" s="17">
        <f>N("Truebill")-IF(DAY(A223)=Budget!$Q$9,Budget!$P$9,0)</f>
        <v>0</v>
      </c>
      <c r="AA223" s="6">
        <f t="shared" si="24"/>
        <v>0</v>
      </c>
    </row>
    <row r="224" spans="1:27" x14ac:dyDescent="0.3">
      <c r="A224" s="4">
        <f t="shared" si="26"/>
        <v>45856</v>
      </c>
      <c r="B224" s="2">
        <f t="shared" si="25"/>
        <v>4493.1900000000005</v>
      </c>
      <c r="C224" s="7">
        <f t="shared" si="27"/>
        <v>2</v>
      </c>
      <c r="D224" s="1">
        <v>0</v>
      </c>
      <c r="E224" s="17">
        <f>N("PAY-LM")+IF(WEEKDAY(A224)=Budget!$C$3,Budget!$B$3,0)</f>
        <v>1453</v>
      </c>
      <c r="F224" s="17">
        <f>N("Rent")-IF(DAY(A224)=Budget!$G$3,Budget!$F$3,0)</f>
        <v>0</v>
      </c>
      <c r="G224" s="17">
        <f>N("Car")-IF(DAY(A224)=Budget!$G$4,Budget!$F$4+Budget!$H$4,0)</f>
        <v>0</v>
      </c>
      <c r="H224" s="17">
        <f>N("Mom Rent")-IF(DAY(A224)=Budget!$G$5,Budget!$F$5,0)</f>
        <v>0</v>
      </c>
      <c r="I224" s="17">
        <f>N("AT&amp;T")-IF(DAY(A224)=Budget!$G$8,Budget!$F$8,0)</f>
        <v>-65</v>
      </c>
      <c r="J224" s="17">
        <f>N("GA Power")-IF(DAY(A224)=Budget!$G$9,Budget!$F$9,0)</f>
        <v>0</v>
      </c>
      <c r="K224" s="17">
        <f>N("Haircut")-IF(DAY(A224)=Budget!$G$10,Budget!$F$10,0)</f>
        <v>0</v>
      </c>
      <c r="L224" s="17">
        <f>N("Groceries")-IF(DAY(A224)=Budget!$G$6,Budget!$F$6,0)</f>
        <v>0</v>
      </c>
      <c r="M224" s="17">
        <f>N("Savings")-IF(DAY(A224)=Budget!$G$7,Budget!$F$7,0)</f>
        <v>0</v>
      </c>
      <c r="N224" s="17">
        <f>N("Car Insurance")-COUNTIF(Budget!$G$14, A224)*Budget!$F$14</f>
        <v>0</v>
      </c>
      <c r="O224" s="17">
        <f>N("Phone Bill")-COUNTIF(Budget!$G$15, A224)*Budget!$F$15</f>
        <v>0</v>
      </c>
      <c r="Q224" s="17">
        <f>N("Spotify")-IF(AND(DAY($A224)=Budget!$M$3, MONTH($A224)=Budget!$L$3),Budget!$K$3,0)</f>
        <v>0</v>
      </c>
      <c r="R224" s="17">
        <f>N("Spotify")-IF(AND(DAY($A224)=Budget!$M$4, MONTH($A224)=Budget!$L$4),Budget!$K$4,0)</f>
        <v>0</v>
      </c>
      <c r="S224" s="17">
        <f>N("Spotify")-IF(AND(DAY($A224)=Budget!$M$5, MONTH($A224)=Budget!$L$5),Budget!$K$5,0)</f>
        <v>0</v>
      </c>
      <c r="T224" s="17">
        <f>N("Amazon Prime")-IF(DAY(A224)=Budget!$Q$3,Budget!$P$3,0)</f>
        <v>0</v>
      </c>
      <c r="U224" s="17">
        <f>N("Audible")-IF(DAY(A224)=Budget!$Q$12,Budget!$P$12,0)</f>
        <v>0</v>
      </c>
      <c r="V224" s="17">
        <f>N("Crunchyroll")-IF(DAY(A224)=Budget!$Q$5,Budget!$P$5,0)</f>
        <v>0</v>
      </c>
      <c r="W224" s="17">
        <f>N("HBO Max")-IF(DAY(A224)=Budget!$Q$6,Budget!$P$6,0)</f>
        <v>0</v>
      </c>
      <c r="X224" s="17">
        <f>N("Netflix")-IF(DAY(A224)=Budget!$Q$7,Budget!$P$7,0)</f>
        <v>0</v>
      </c>
      <c r="Y224" s="17">
        <f>N("Spotify")-IF(DAY(A224)=Budget!$Q$8,Budget!$P$8,0)</f>
        <v>0</v>
      </c>
      <c r="Z224" s="17">
        <f>N("Truebill")-IF(DAY(A224)=Budget!$Q$9,Budget!$P$9,0)</f>
        <v>0</v>
      </c>
      <c r="AA224" s="6">
        <f t="shared" si="24"/>
        <v>1388</v>
      </c>
    </row>
    <row r="225" spans="1:30" x14ac:dyDescent="0.3">
      <c r="A225" s="4">
        <f t="shared" si="26"/>
        <v>45857</v>
      </c>
      <c r="B225" s="2">
        <f t="shared" si="25"/>
        <v>4493.1900000000005</v>
      </c>
      <c r="C225" s="7">
        <f t="shared" si="27"/>
        <v>1</v>
      </c>
      <c r="D225" s="1">
        <v>0</v>
      </c>
      <c r="E225" s="17">
        <f>N("PAY-LM")+IF(WEEKDAY(A225)=Budget!$C$3,Budget!$B$3,0)</f>
        <v>0</v>
      </c>
      <c r="F225" s="17">
        <f>N("Rent")-IF(DAY(A225)=Budget!$G$3,Budget!$F$3,0)</f>
        <v>0</v>
      </c>
      <c r="G225" s="17">
        <f>N("Car")-IF(DAY(A225)=Budget!$G$4,Budget!$F$4+Budget!$H$4,0)</f>
        <v>0</v>
      </c>
      <c r="H225" s="17">
        <f>N("Mom Rent")-IF(DAY(A225)=Budget!$G$5,Budget!$F$5,0)</f>
        <v>0</v>
      </c>
      <c r="I225" s="17">
        <f>N("AT&amp;T")-IF(DAY(A225)=Budget!$G$8,Budget!$F$8,0)</f>
        <v>0</v>
      </c>
      <c r="J225" s="17">
        <f>N("GA Power")-IF(DAY(A225)=Budget!$G$9,Budget!$F$9,0)</f>
        <v>0</v>
      </c>
      <c r="K225" s="17">
        <f>N("Haircut")-IF(DAY(A225)=Budget!$G$10,Budget!$F$10,0)</f>
        <v>0</v>
      </c>
      <c r="L225" s="17">
        <f>N("Groceries")-IF(DAY(A225)=Budget!$G$6,Budget!$F$6,0)</f>
        <v>0</v>
      </c>
      <c r="M225" s="17">
        <f>N("Savings")-IF(DAY(A225)=Budget!$G$7,Budget!$F$7,0)</f>
        <v>0</v>
      </c>
      <c r="N225" s="17">
        <f>N("Car Insurance")-COUNTIF(Budget!$G$14, A225)*Budget!$F$14</f>
        <v>0</v>
      </c>
      <c r="O225" s="17">
        <f>N("Phone Bill")-COUNTIF(Budget!$G$15, A225)*Budget!$F$15</f>
        <v>0</v>
      </c>
      <c r="Q225" s="17">
        <f>N("Spotify")-IF(AND(DAY($A225)=Budget!$M$3, MONTH($A225)=Budget!$L$3),Budget!$K$3,0)</f>
        <v>0</v>
      </c>
      <c r="R225" s="17">
        <f>N("Spotify")-IF(AND(DAY($A225)=Budget!$M$4, MONTH($A225)=Budget!$L$4),Budget!$K$4,0)</f>
        <v>0</v>
      </c>
      <c r="S225" s="17">
        <f>N("Spotify")-IF(AND(DAY($A225)=Budget!$M$5, MONTH($A225)=Budget!$L$5),Budget!$K$5,0)</f>
        <v>0</v>
      </c>
      <c r="T225" s="17">
        <f>N("Amazon Prime")-IF(DAY(A225)=Budget!$Q$3,Budget!$P$3,0)</f>
        <v>0</v>
      </c>
      <c r="U225" s="17">
        <f>N("Audible")-IF(DAY(A225)=Budget!$Q$12,Budget!$P$12,0)</f>
        <v>0</v>
      </c>
      <c r="V225" s="17">
        <f>N("Crunchyroll")-IF(DAY(A225)=Budget!$Q$5,Budget!$P$5,0)</f>
        <v>0</v>
      </c>
      <c r="W225" s="17">
        <f>N("HBO Max")-IF(DAY(A225)=Budget!$Q$6,Budget!$P$6,0)</f>
        <v>0</v>
      </c>
      <c r="X225" s="17">
        <f>N("Netflix")-IF(DAY(A225)=Budget!$Q$7,Budget!$P$7,0)</f>
        <v>0</v>
      </c>
      <c r="Y225" s="17">
        <f>N("Spotify")-IF(DAY(A225)=Budget!$Q$8,Budget!$P$8,0)</f>
        <v>0</v>
      </c>
      <c r="Z225" s="17">
        <f>N("Truebill")-IF(DAY(A225)=Budget!$Q$9,Budget!$P$9,0)</f>
        <v>0</v>
      </c>
      <c r="AA225" s="6">
        <f t="shared" si="24"/>
        <v>0</v>
      </c>
    </row>
    <row r="226" spans="1:30" x14ac:dyDescent="0.3">
      <c r="A226" s="4">
        <f t="shared" si="26"/>
        <v>45858</v>
      </c>
      <c r="B226" s="2">
        <f t="shared" si="25"/>
        <v>3643.1900000000005</v>
      </c>
      <c r="C226" s="7">
        <f t="shared" si="27"/>
        <v>0</v>
      </c>
      <c r="D226" s="1">
        <v>0</v>
      </c>
      <c r="E226" s="17">
        <f>N("PAY-LM")+IF(WEEKDAY(A226)=Budget!$C$3,Budget!$B$3,0)</f>
        <v>0</v>
      </c>
      <c r="F226" s="17">
        <f>N("Rent")-IF(DAY(A226)=Budget!$G$3,Budget!$F$3,0)</f>
        <v>0</v>
      </c>
      <c r="G226" s="17">
        <f>N("Car")-IF(DAY(A226)=Budget!$G$4,Budget!$F$4+Budget!$H$4,0)</f>
        <v>0</v>
      </c>
      <c r="H226" s="17">
        <f>N("Mom Rent")-IF(DAY(A226)=Budget!$G$5,Budget!$F$5,0)</f>
        <v>-850</v>
      </c>
      <c r="I226" s="17">
        <f>N("AT&amp;T")-IF(DAY(A226)=Budget!$G$8,Budget!$F$8,0)</f>
        <v>0</v>
      </c>
      <c r="J226" s="17">
        <f>N("GA Power")-IF(DAY(A226)=Budget!$G$9,Budget!$F$9,0)</f>
        <v>0</v>
      </c>
      <c r="K226" s="17">
        <f>N("Haircut")-IF(DAY(A226)=Budget!$G$10,Budget!$F$10,0)</f>
        <v>0</v>
      </c>
      <c r="L226" s="17">
        <f>N("Groceries")-IF(DAY(A226)=Budget!$G$6,Budget!$F$6,0)</f>
        <v>0</v>
      </c>
      <c r="M226" s="17">
        <f>N("Savings")-IF(DAY(A226)=Budget!$G$7,Budget!$F$7,0)</f>
        <v>0</v>
      </c>
      <c r="N226" s="17">
        <f>N("Car Insurance")-COUNTIF(Budget!$G$14, A226)*Budget!$F$14</f>
        <v>0</v>
      </c>
      <c r="O226" s="17">
        <f>N("Phone Bill")-COUNTIF(Budget!$G$15, A226)*Budget!$F$15</f>
        <v>0</v>
      </c>
      <c r="Q226" s="17">
        <f>N("Spotify")-IF(AND(DAY($A226)=Budget!$M$3, MONTH($A226)=Budget!$L$3),Budget!$K$3,0)</f>
        <v>0</v>
      </c>
      <c r="R226" s="17">
        <f>N("Spotify")-IF(AND(DAY($A226)=Budget!$M$4, MONTH($A226)=Budget!$L$4),Budget!$K$4,0)</f>
        <v>0</v>
      </c>
      <c r="S226" s="17">
        <f>N("Spotify")-IF(AND(DAY($A226)=Budget!$M$5, MONTH($A226)=Budget!$L$5),Budget!$K$5,0)</f>
        <v>0</v>
      </c>
      <c r="T226" s="17">
        <f>N("Amazon Prime")-IF(DAY(A226)=Budget!$Q$3,Budget!$P$3,0)</f>
        <v>0</v>
      </c>
      <c r="U226" s="17">
        <f>N("Audible")-IF(DAY(A226)=Budget!$Q$12,Budget!$P$12,0)</f>
        <v>0</v>
      </c>
      <c r="V226" s="17">
        <f>N("Crunchyroll")-IF(DAY(A226)=Budget!$Q$5,Budget!$P$5,0)</f>
        <v>0</v>
      </c>
      <c r="W226" s="17">
        <f>N("HBO Max")-IF(DAY(A226)=Budget!$Q$6,Budget!$P$6,0)</f>
        <v>0</v>
      </c>
      <c r="X226" s="17">
        <f>N("Netflix")-IF(DAY(A226)=Budget!$Q$7,Budget!$P$7,0)</f>
        <v>0</v>
      </c>
      <c r="Y226" s="17">
        <f>N("Spotify")-IF(DAY(A226)=Budget!$Q$8,Budget!$P$8,0)</f>
        <v>0</v>
      </c>
      <c r="Z226" s="17">
        <f>N("Truebill")-IF(DAY(A226)=Budget!$Q$9,Budget!$P$9,0)</f>
        <v>0</v>
      </c>
      <c r="AA226" s="6">
        <f t="shared" si="24"/>
        <v>-850</v>
      </c>
    </row>
    <row r="227" spans="1:30" x14ac:dyDescent="0.3">
      <c r="A227" s="4">
        <f t="shared" si="26"/>
        <v>45859</v>
      </c>
      <c r="B227" s="2">
        <f t="shared" si="25"/>
        <v>3643.1900000000005</v>
      </c>
      <c r="C227" s="7">
        <f t="shared" si="27"/>
        <v>1</v>
      </c>
      <c r="D227" s="1">
        <v>0</v>
      </c>
      <c r="E227" s="17">
        <f>N("PAY-LM")+IF(WEEKDAY(A227)=Budget!$C$3,Budget!$B$3,0)</f>
        <v>0</v>
      </c>
      <c r="F227" s="17">
        <f>N("Rent")-IF(DAY(A227)=Budget!$G$3,Budget!$F$3,0)</f>
        <v>0</v>
      </c>
      <c r="G227" s="17">
        <f>N("Car")-IF(DAY(A227)=Budget!$G$4,Budget!$F$4+Budget!$H$4,0)</f>
        <v>0</v>
      </c>
      <c r="H227" s="17">
        <f>N("Mom Rent")-IF(DAY(A227)=Budget!$G$5,Budget!$F$5,0)</f>
        <v>0</v>
      </c>
      <c r="I227" s="17">
        <f>N("AT&amp;T")-IF(DAY(A227)=Budget!$G$8,Budget!$F$8,0)</f>
        <v>0</v>
      </c>
      <c r="J227" s="17">
        <f>N("GA Power")-IF(DAY(A227)=Budget!$G$9,Budget!$F$9,0)</f>
        <v>0</v>
      </c>
      <c r="K227" s="17">
        <f>N("Haircut")-IF(DAY(A227)=Budget!$G$10,Budget!$F$10,0)</f>
        <v>0</v>
      </c>
      <c r="L227" s="17">
        <f>N("Groceries")-IF(DAY(A227)=Budget!$G$6,Budget!$F$6,0)</f>
        <v>0</v>
      </c>
      <c r="M227" s="17">
        <f>N("Savings")-IF(DAY(A227)=Budget!$G$7,Budget!$F$7,0)</f>
        <v>0</v>
      </c>
      <c r="N227" s="17">
        <f>N("Car Insurance")-COUNTIF(Budget!$G$14, A227)*Budget!$F$14</f>
        <v>0</v>
      </c>
      <c r="O227" s="17">
        <f>N("Phone Bill")-COUNTIF(Budget!$G$15, A227)*Budget!$F$15</f>
        <v>0</v>
      </c>
      <c r="Q227" s="17">
        <f>N("Spotify")-IF(AND(DAY($A227)=Budget!$M$3, MONTH($A227)=Budget!$L$3),Budget!$K$3,0)</f>
        <v>0</v>
      </c>
      <c r="R227" s="17">
        <f>N("Spotify")-IF(AND(DAY($A227)=Budget!$M$4, MONTH($A227)=Budget!$L$4),Budget!$K$4,0)</f>
        <v>0</v>
      </c>
      <c r="S227" s="17">
        <f>N("Spotify")-IF(AND(DAY($A227)=Budget!$M$5, MONTH($A227)=Budget!$L$5),Budget!$K$5,0)</f>
        <v>0</v>
      </c>
      <c r="T227" s="17">
        <f>N("Amazon Prime")-IF(DAY(A227)=Budget!$Q$3,Budget!$P$3,0)</f>
        <v>0</v>
      </c>
      <c r="U227" s="17">
        <f>N("Audible")-IF(DAY(A227)=Budget!$Q$12,Budget!$P$12,0)</f>
        <v>0</v>
      </c>
      <c r="V227" s="17">
        <f>N("Crunchyroll")-IF(DAY(A227)=Budget!$Q$5,Budget!$P$5,0)</f>
        <v>0</v>
      </c>
      <c r="W227" s="17">
        <f>N("HBO Max")-IF(DAY(A227)=Budget!$Q$6,Budget!$P$6,0)</f>
        <v>0</v>
      </c>
      <c r="X227" s="17">
        <f>N("Netflix")-IF(DAY(A227)=Budget!$Q$7,Budget!$P$7,0)</f>
        <v>0</v>
      </c>
      <c r="Y227" s="17">
        <f>N("Spotify")-IF(DAY(A227)=Budget!$Q$8,Budget!$P$8,0)</f>
        <v>0</v>
      </c>
      <c r="Z227" s="17">
        <f>N("Truebill")-IF(DAY(A227)=Budget!$Q$9,Budget!$P$9,0)</f>
        <v>0</v>
      </c>
      <c r="AA227" s="6">
        <f t="shared" si="24"/>
        <v>0</v>
      </c>
    </row>
    <row r="228" spans="1:30" x14ac:dyDescent="0.3">
      <c r="A228" s="4">
        <f t="shared" si="26"/>
        <v>45860</v>
      </c>
      <c r="B228" s="2">
        <f t="shared" si="25"/>
        <v>3643.1900000000005</v>
      </c>
      <c r="C228" s="7">
        <f t="shared" si="27"/>
        <v>1</v>
      </c>
      <c r="D228" s="1">
        <v>0</v>
      </c>
      <c r="E228" s="17">
        <f>N("PAY-LM")+IF(WEEKDAY(A228)=Budget!$C$3,Budget!$B$3,0)</f>
        <v>0</v>
      </c>
      <c r="F228" s="17">
        <f>N("Rent")-IF(DAY(A228)=Budget!$G$3,Budget!$F$3,0)</f>
        <v>0</v>
      </c>
      <c r="G228" s="17">
        <f>N("Car")-IF(DAY(A228)=Budget!$G$4,Budget!$F$4+Budget!$H$4,0)</f>
        <v>0</v>
      </c>
      <c r="H228" s="17">
        <f>N("Mom Rent")-IF(DAY(A228)=Budget!$G$5,Budget!$F$5,0)</f>
        <v>0</v>
      </c>
      <c r="I228" s="17">
        <f>N("AT&amp;T")-IF(DAY(A228)=Budget!$G$8,Budget!$F$8,0)</f>
        <v>0</v>
      </c>
      <c r="J228" s="17">
        <f>N("GA Power")-IF(DAY(A228)=Budget!$G$9,Budget!$F$9,0)</f>
        <v>0</v>
      </c>
      <c r="K228" s="17">
        <f>N("Haircut")-IF(DAY(A228)=Budget!$G$10,Budget!$F$10,0)</f>
        <v>0</v>
      </c>
      <c r="L228" s="17">
        <f>N("Groceries")-IF(DAY(A228)=Budget!$G$6,Budget!$F$6,0)</f>
        <v>0</v>
      </c>
      <c r="M228" s="17">
        <f>N("Savings")-IF(DAY(A228)=Budget!$G$7,Budget!$F$7,0)</f>
        <v>0</v>
      </c>
      <c r="N228" s="17">
        <f>N("Car Insurance")-COUNTIF(Budget!$G$14, A228)*Budget!$F$14</f>
        <v>0</v>
      </c>
      <c r="O228" s="17">
        <f>N("Phone Bill")-COUNTIF(Budget!$G$15, A228)*Budget!$F$15</f>
        <v>0</v>
      </c>
      <c r="Q228" s="17">
        <f>N("Spotify")-IF(AND(DAY($A228)=Budget!$M$3, MONTH($A228)=Budget!$L$3),Budget!$K$3,0)</f>
        <v>0</v>
      </c>
      <c r="R228" s="17">
        <f>N("Spotify")-IF(AND(DAY($A228)=Budget!$M$4, MONTH($A228)=Budget!$L$4),Budget!$K$4,0)</f>
        <v>0</v>
      </c>
      <c r="S228" s="17">
        <f>N("Spotify")-IF(AND(DAY($A228)=Budget!$M$5, MONTH($A228)=Budget!$L$5),Budget!$K$5,0)</f>
        <v>0</v>
      </c>
      <c r="T228" s="17">
        <f>N("Amazon Prime")-IF(DAY(A228)=Budget!$Q$3,Budget!$P$3,0)</f>
        <v>0</v>
      </c>
      <c r="U228" s="17">
        <f>N("Audible")-IF(DAY(A228)=Budget!$Q$12,Budget!$P$12,0)</f>
        <v>0</v>
      </c>
      <c r="V228" s="17">
        <f>N("Crunchyroll")-IF(DAY(A228)=Budget!$Q$5,Budget!$P$5,0)</f>
        <v>0</v>
      </c>
      <c r="W228" s="17">
        <f>N("HBO Max")-IF(DAY(A228)=Budget!$Q$6,Budget!$P$6,0)</f>
        <v>0</v>
      </c>
      <c r="X228" s="17">
        <f>N("Netflix")-IF(DAY(A228)=Budget!$Q$7,Budget!$P$7,0)</f>
        <v>0</v>
      </c>
      <c r="Y228" s="17">
        <f>N("Spotify")-IF(DAY(A228)=Budget!$Q$8,Budget!$P$8,0)</f>
        <v>0</v>
      </c>
      <c r="Z228" s="17">
        <f>N("Truebill")-IF(DAY(A228)=Budget!$Q$9,Budget!$P$9,0)</f>
        <v>0</v>
      </c>
      <c r="AA228" s="6">
        <f t="shared" si="24"/>
        <v>0</v>
      </c>
    </row>
    <row r="229" spans="1:30" x14ac:dyDescent="0.3">
      <c r="A229" s="4">
        <f t="shared" si="26"/>
        <v>45861</v>
      </c>
      <c r="B229" s="2">
        <f t="shared" si="25"/>
        <v>3643.1900000000005</v>
      </c>
      <c r="C229" s="7">
        <f t="shared" si="27"/>
        <v>1</v>
      </c>
      <c r="D229" s="1">
        <v>0</v>
      </c>
      <c r="E229" s="17">
        <f>N("PAY-LM")+IF(WEEKDAY(A229)=Budget!$C$3,Budget!$B$3,0)</f>
        <v>0</v>
      </c>
      <c r="F229" s="17">
        <f>N("Rent")-IF(DAY(A229)=Budget!$G$3,Budget!$F$3,0)</f>
        <v>0</v>
      </c>
      <c r="G229" s="17">
        <f>N("Car")-IF(DAY(A229)=Budget!$G$4,Budget!$F$4+Budget!$H$4,0)</f>
        <v>0</v>
      </c>
      <c r="H229" s="17">
        <f>N("Mom Rent")-IF(DAY(A229)=Budget!$G$5,Budget!$F$5,0)</f>
        <v>0</v>
      </c>
      <c r="I229" s="17">
        <f>N("AT&amp;T")-IF(DAY(A229)=Budget!$G$8,Budget!$F$8,0)</f>
        <v>0</v>
      </c>
      <c r="J229" s="17">
        <f>N("GA Power")-IF(DAY(A229)=Budget!$G$9,Budget!$F$9,0)</f>
        <v>0</v>
      </c>
      <c r="K229" s="17">
        <f>N("Haircut")-IF(DAY(A229)=Budget!$G$10,Budget!$F$10,0)</f>
        <v>0</v>
      </c>
      <c r="L229" s="17">
        <f>N("Groceries")-IF(DAY(A229)=Budget!$G$6,Budget!$F$6,0)</f>
        <v>0</v>
      </c>
      <c r="M229" s="17">
        <f>N("Savings")-IF(DAY(A229)=Budget!$G$7,Budget!$F$7,0)</f>
        <v>0</v>
      </c>
      <c r="N229" s="17">
        <f>N("Car Insurance")-COUNTIF(Budget!$G$14, A229)*Budget!$F$14</f>
        <v>0</v>
      </c>
      <c r="O229" s="17">
        <f>N("Phone Bill")-COUNTIF(Budget!$G$15, A229)*Budget!$F$15</f>
        <v>0</v>
      </c>
      <c r="Q229" s="17">
        <f>N("Spotify")-IF(AND(DAY($A229)=Budget!$M$3, MONTH($A229)=Budget!$L$3),Budget!$K$3,0)</f>
        <v>0</v>
      </c>
      <c r="R229" s="17">
        <f>N("Spotify")-IF(AND(DAY($A229)=Budget!$M$4, MONTH($A229)=Budget!$L$4),Budget!$K$4,0)</f>
        <v>0</v>
      </c>
      <c r="S229" s="17">
        <f>N("Spotify")-IF(AND(DAY($A229)=Budget!$M$5, MONTH($A229)=Budget!$L$5),Budget!$K$5,0)</f>
        <v>0</v>
      </c>
      <c r="T229" s="17">
        <f>N("Amazon Prime")-IF(DAY(A229)=Budget!$Q$3,Budget!$P$3,0)</f>
        <v>0</v>
      </c>
      <c r="U229" s="17">
        <f>N("Audible")-IF(DAY(A229)=Budget!$Q$12,Budget!$P$12,0)</f>
        <v>0</v>
      </c>
      <c r="V229" s="17">
        <f>N("Crunchyroll")-IF(DAY(A229)=Budget!$Q$5,Budget!$P$5,0)</f>
        <v>0</v>
      </c>
      <c r="W229" s="17">
        <f>N("HBO Max")-IF(DAY(A229)=Budget!$Q$6,Budget!$P$6,0)</f>
        <v>0</v>
      </c>
      <c r="X229" s="17">
        <f>N("Netflix")-IF(DAY(A229)=Budget!$Q$7,Budget!$P$7,0)</f>
        <v>0</v>
      </c>
      <c r="Y229" s="17">
        <f>N("Spotify")-IF(DAY(A229)=Budget!$Q$8,Budget!$P$8,0)</f>
        <v>0</v>
      </c>
      <c r="Z229" s="17">
        <f>N("Truebill")-IF(DAY(A229)=Budget!$Q$9,Budget!$P$9,0)</f>
        <v>0</v>
      </c>
      <c r="AA229" s="6">
        <f t="shared" si="24"/>
        <v>0</v>
      </c>
    </row>
    <row r="230" spans="1:30" x14ac:dyDescent="0.3">
      <c r="A230" s="4">
        <f t="shared" si="26"/>
        <v>45862</v>
      </c>
      <c r="B230" s="2">
        <f t="shared" si="25"/>
        <v>3643.1900000000005</v>
      </c>
      <c r="C230" s="7">
        <f t="shared" si="27"/>
        <v>1</v>
      </c>
      <c r="D230" s="1">
        <v>0</v>
      </c>
      <c r="E230" s="17">
        <f>N("PAY-LM")+IF(WEEKDAY(A230)=Budget!$C$3,Budget!$B$3,0)</f>
        <v>0</v>
      </c>
      <c r="F230" s="17">
        <f>N("Rent")-IF(DAY(A230)=Budget!$G$3,Budget!$F$3,0)</f>
        <v>0</v>
      </c>
      <c r="G230" s="17">
        <f>N("Car")-IF(DAY(A230)=Budget!$G$4,Budget!$F$4+Budget!$H$4,0)</f>
        <v>0</v>
      </c>
      <c r="H230" s="17">
        <f>N("Mom Rent")-IF(DAY(A230)=Budget!$G$5,Budget!$F$5,0)</f>
        <v>0</v>
      </c>
      <c r="I230" s="17">
        <f>N("AT&amp;T")-IF(DAY(A230)=Budget!$G$8,Budget!$F$8,0)</f>
        <v>0</v>
      </c>
      <c r="J230" s="17">
        <f>N("GA Power")-IF(DAY(A230)=Budget!$G$9,Budget!$F$9,0)</f>
        <v>0</v>
      </c>
      <c r="K230" s="17">
        <f>N("Haircut")-IF(DAY(A230)=Budget!$G$10,Budget!$F$10,0)</f>
        <v>0</v>
      </c>
      <c r="L230" s="17">
        <f>N("Groceries")-IF(DAY(A230)=Budget!$G$6,Budget!$F$6,0)</f>
        <v>0</v>
      </c>
      <c r="M230" s="17">
        <f>N("Savings")-IF(DAY(A230)=Budget!$G$7,Budget!$F$7,0)</f>
        <v>0</v>
      </c>
      <c r="N230" s="17">
        <f>N("Car Insurance")-COUNTIF(Budget!$G$14, A230)*Budget!$F$14</f>
        <v>0</v>
      </c>
      <c r="O230" s="17">
        <f>N("Phone Bill")-COUNTIF(Budget!$G$15, A230)*Budget!$F$15</f>
        <v>0</v>
      </c>
      <c r="Q230" s="17">
        <f>N("Spotify")-IF(AND(DAY($A230)=Budget!$M$3, MONTH($A230)=Budget!$L$3),Budget!$K$3,0)</f>
        <v>0</v>
      </c>
      <c r="R230" s="17">
        <f>N("Spotify")-IF(AND(DAY($A230)=Budget!$M$4, MONTH($A230)=Budget!$L$4),Budget!$K$4,0)</f>
        <v>0</v>
      </c>
      <c r="S230" s="17">
        <f>N("Spotify")-IF(AND(DAY($A230)=Budget!$M$5, MONTH($A230)=Budget!$L$5),Budget!$K$5,0)</f>
        <v>0</v>
      </c>
      <c r="T230" s="17">
        <f>N("Amazon Prime")-IF(DAY(A230)=Budget!$Q$3,Budget!$P$3,0)</f>
        <v>0</v>
      </c>
      <c r="U230" s="17">
        <f>N("Audible")-IF(DAY(A230)=Budget!$Q$12,Budget!$P$12,0)</f>
        <v>0</v>
      </c>
      <c r="V230" s="17">
        <f>N("Crunchyroll")-IF(DAY(A230)=Budget!$Q$5,Budget!$P$5,0)</f>
        <v>0</v>
      </c>
      <c r="W230" s="17">
        <f>N("HBO Max")-IF(DAY(A230)=Budget!$Q$6,Budget!$P$6,0)</f>
        <v>0</v>
      </c>
      <c r="X230" s="17">
        <f>N("Netflix")-IF(DAY(A230)=Budget!$Q$7,Budget!$P$7,0)</f>
        <v>0</v>
      </c>
      <c r="Y230" s="17">
        <f>N("Spotify")-IF(DAY(A230)=Budget!$Q$8,Budget!$P$8,0)</f>
        <v>0</v>
      </c>
      <c r="Z230" s="17">
        <f>N("Truebill")-IF(DAY(A230)=Budget!$Q$9,Budget!$P$9,0)</f>
        <v>0</v>
      </c>
      <c r="AA230" s="6">
        <f t="shared" si="24"/>
        <v>0</v>
      </c>
    </row>
    <row r="231" spans="1:30" x14ac:dyDescent="0.3">
      <c r="A231" s="4">
        <f t="shared" si="26"/>
        <v>45863</v>
      </c>
      <c r="B231" s="2">
        <f t="shared" si="25"/>
        <v>5096.1900000000005</v>
      </c>
      <c r="C231" s="7">
        <f t="shared" si="27"/>
        <v>2</v>
      </c>
      <c r="D231" s="1">
        <v>0</v>
      </c>
      <c r="E231" s="17">
        <f>N("PAY-LM")+IF(WEEKDAY(A231)=Budget!$C$3,Budget!$B$3,0)</f>
        <v>1453</v>
      </c>
      <c r="F231" s="17">
        <f>N("Rent")-IF(DAY(A231)=Budget!$G$3,Budget!$F$3,0)</f>
        <v>0</v>
      </c>
      <c r="G231" s="17">
        <f>N("Car")-IF(DAY(A231)=Budget!$G$4,Budget!$F$4+Budget!$H$4,0)</f>
        <v>0</v>
      </c>
      <c r="H231" s="17">
        <f>N("Mom Rent")-IF(DAY(A231)=Budget!$G$5,Budget!$F$5,0)</f>
        <v>0</v>
      </c>
      <c r="I231" s="17">
        <f>N("AT&amp;T")-IF(DAY(A231)=Budget!$G$8,Budget!$F$8,0)</f>
        <v>0</v>
      </c>
      <c r="J231" s="17">
        <f>N("GA Power")-IF(DAY(A231)=Budget!$G$9,Budget!$F$9,0)</f>
        <v>0</v>
      </c>
      <c r="K231" s="17">
        <f>N("Haircut")-IF(DAY(A231)=Budget!$G$10,Budget!$F$10,0)</f>
        <v>0</v>
      </c>
      <c r="L231" s="17">
        <f>N("Groceries")-IF(DAY(A231)=Budget!$G$6,Budget!$F$6,0)</f>
        <v>0</v>
      </c>
      <c r="M231" s="17">
        <f>N("Savings")-IF(DAY(A231)=Budget!$G$7,Budget!$F$7,0)</f>
        <v>0</v>
      </c>
      <c r="N231" s="17">
        <f>N("Car Insurance")-COUNTIF(Budget!$G$14, A231)*Budget!$F$14</f>
        <v>0</v>
      </c>
      <c r="O231" s="17">
        <f>N("Phone Bill")-COUNTIF(Budget!$G$15, A231)*Budget!$F$15</f>
        <v>0</v>
      </c>
      <c r="Q231" s="17">
        <f>N("Spotify")-IF(AND(DAY($A231)=Budget!$M$3, MONTH($A231)=Budget!$L$3),Budget!$K$3,0)</f>
        <v>0</v>
      </c>
      <c r="R231" s="17">
        <f>N("Spotify")-IF(AND(DAY($A231)=Budget!$M$4, MONTH($A231)=Budget!$L$4),Budget!$K$4,0)</f>
        <v>0</v>
      </c>
      <c r="S231" s="17">
        <f>N("Spotify")-IF(AND(DAY($A231)=Budget!$M$5, MONTH($A231)=Budget!$L$5),Budget!$K$5,0)</f>
        <v>0</v>
      </c>
      <c r="T231" s="17">
        <f>N("Amazon Prime")-IF(DAY(A231)=Budget!$Q$3,Budget!$P$3,0)</f>
        <v>0</v>
      </c>
      <c r="U231" s="17">
        <f>N("Audible")-IF(DAY(A231)=Budget!$Q$12,Budget!$P$12,0)</f>
        <v>0</v>
      </c>
      <c r="V231" s="17">
        <f>N("Crunchyroll")-IF(DAY(A231)=Budget!$Q$5,Budget!$P$5,0)</f>
        <v>0</v>
      </c>
      <c r="W231" s="17">
        <f>N("HBO Max")-IF(DAY(A231)=Budget!$Q$6,Budget!$P$6,0)</f>
        <v>0</v>
      </c>
      <c r="X231" s="17">
        <f>N("Netflix")-IF(DAY(A231)=Budget!$Q$7,Budget!$P$7,0)</f>
        <v>0</v>
      </c>
      <c r="Y231" s="17">
        <f>N("Spotify")-IF(DAY(A231)=Budget!$Q$8,Budget!$P$8,0)</f>
        <v>0</v>
      </c>
      <c r="Z231" s="17">
        <f>N("Truebill")-IF(DAY(A231)=Budget!$Q$9,Budget!$P$9,0)</f>
        <v>0</v>
      </c>
      <c r="AA231" s="6">
        <f t="shared" si="24"/>
        <v>1453</v>
      </c>
    </row>
    <row r="232" spans="1:30" x14ac:dyDescent="0.3">
      <c r="A232" s="4">
        <f t="shared" si="26"/>
        <v>45864</v>
      </c>
      <c r="B232" s="2">
        <f t="shared" si="25"/>
        <v>4696.1900000000005</v>
      </c>
      <c r="C232" s="7">
        <f t="shared" si="27"/>
        <v>0</v>
      </c>
      <c r="D232" s="1">
        <v>0</v>
      </c>
      <c r="E232" s="17">
        <f>N("PAY-LM")+IF(WEEKDAY(A232)=Budget!$C$3,Budget!$B$3,0)</f>
        <v>0</v>
      </c>
      <c r="F232" s="17">
        <f>N("Rent")-IF(DAY(A232)=Budget!$G$3,Budget!$F$3,0)</f>
        <v>0</v>
      </c>
      <c r="G232" s="17">
        <f>N("Car")-IF(DAY(A232)=Budget!$G$4,Budget!$F$4+Budget!$H$4,0)</f>
        <v>0</v>
      </c>
      <c r="H232" s="17">
        <f>N("Mom Rent")-IF(DAY(A232)=Budget!$G$5,Budget!$F$5,0)</f>
        <v>0</v>
      </c>
      <c r="I232" s="17">
        <f>N("AT&amp;T")-IF(DAY(A232)=Budget!$G$8,Budget!$F$8,0)</f>
        <v>0</v>
      </c>
      <c r="J232" s="17">
        <f>N("GA Power")-IF(DAY(A232)=Budget!$G$9,Budget!$F$9,0)</f>
        <v>0</v>
      </c>
      <c r="K232" s="17">
        <f>N("Haircut")-IF(DAY(A232)=Budget!$G$10,Budget!$F$10,0)</f>
        <v>-400</v>
      </c>
      <c r="L232" s="17">
        <f>N("Groceries")-IF(DAY(A232)=Budget!$G$6,Budget!$F$6,0)</f>
        <v>0</v>
      </c>
      <c r="M232" s="17">
        <f>N("Savings")-IF(DAY(A232)=Budget!$G$7,Budget!$F$7,0)</f>
        <v>0</v>
      </c>
      <c r="N232" s="17">
        <f>N("Car Insurance")-COUNTIF(Budget!$G$14, A232)*Budget!$F$14</f>
        <v>0</v>
      </c>
      <c r="O232" s="17">
        <f>N("Phone Bill")-COUNTIF(Budget!$G$15, A232)*Budget!$F$15</f>
        <v>0</v>
      </c>
      <c r="Q232" s="17">
        <f>N("Spotify")-IF(AND(DAY($A232)=Budget!$M$3, MONTH($A232)=Budget!$L$3),Budget!$K$3,0)</f>
        <v>0</v>
      </c>
      <c r="R232" s="17">
        <f>N("Spotify")-IF(AND(DAY($A232)=Budget!$M$4, MONTH($A232)=Budget!$L$4),Budget!$K$4,0)</f>
        <v>0</v>
      </c>
      <c r="S232" s="17">
        <f>N("Spotify")-IF(AND(DAY($A232)=Budget!$M$5, MONTH($A232)=Budget!$L$5),Budget!$K$5,0)</f>
        <v>0</v>
      </c>
      <c r="T232" s="17">
        <f>N("Amazon Prime")-IF(DAY(A232)=Budget!$Q$3,Budget!$P$3,0)</f>
        <v>0</v>
      </c>
      <c r="U232" s="17">
        <f>N("Audible")-IF(DAY(A232)=Budget!$Q$12,Budget!$P$12,0)</f>
        <v>0</v>
      </c>
      <c r="V232" s="17">
        <f>N("Crunchyroll")-IF(DAY(A232)=Budget!$Q$5,Budget!$P$5,0)</f>
        <v>0</v>
      </c>
      <c r="W232" s="17">
        <f>N("HBO Max")-IF(DAY(A232)=Budget!$Q$6,Budget!$P$6,0)</f>
        <v>0</v>
      </c>
      <c r="X232" s="17">
        <f>N("Netflix")-IF(DAY(A232)=Budget!$Q$7,Budget!$P$7,0)</f>
        <v>0</v>
      </c>
      <c r="Y232" s="17">
        <f>N("Spotify")-IF(DAY(A232)=Budget!$Q$8,Budget!$P$8,0)</f>
        <v>0</v>
      </c>
      <c r="Z232" s="17">
        <f>N("Truebill")-IF(DAY(A232)=Budget!$Q$9,Budget!$P$9,0)</f>
        <v>0</v>
      </c>
      <c r="AA232" s="6">
        <f t="shared" si="24"/>
        <v>-400</v>
      </c>
    </row>
    <row r="233" spans="1:30" x14ac:dyDescent="0.3">
      <c r="A233" s="4">
        <f t="shared" si="26"/>
        <v>45865</v>
      </c>
      <c r="B233" s="2">
        <f t="shared" si="25"/>
        <v>4696.1900000000005</v>
      </c>
      <c r="C233" s="7">
        <f t="shared" si="27"/>
        <v>1</v>
      </c>
      <c r="D233" s="1">
        <v>0</v>
      </c>
      <c r="E233" s="17">
        <f>N("PAY-LM")+IF(WEEKDAY(A233)=Budget!$C$3,Budget!$B$3,0)</f>
        <v>0</v>
      </c>
      <c r="F233" s="17">
        <f>N("Rent")-IF(DAY(A233)=Budget!$G$3,Budget!$F$3,0)</f>
        <v>0</v>
      </c>
      <c r="G233" s="17">
        <f>N("Car")-IF(DAY(A233)=Budget!$G$4,Budget!$F$4+Budget!$H$4,0)</f>
        <v>0</v>
      </c>
      <c r="H233" s="17">
        <f>N("Mom Rent")-IF(DAY(A233)=Budget!$G$5,Budget!$F$5,0)</f>
        <v>0</v>
      </c>
      <c r="I233" s="17">
        <f>N("AT&amp;T")-IF(DAY(A233)=Budget!$G$8,Budget!$F$8,0)</f>
        <v>0</v>
      </c>
      <c r="J233" s="17">
        <f>N("GA Power")-IF(DAY(A233)=Budget!$G$9,Budget!$F$9,0)</f>
        <v>0</v>
      </c>
      <c r="K233" s="17">
        <f>N("Haircut")-IF(DAY(A233)=Budget!$G$10,Budget!$F$10,0)</f>
        <v>0</v>
      </c>
      <c r="L233" s="17">
        <f>N("Groceries")-IF(DAY(A233)=Budget!$G$6,Budget!$F$6,0)</f>
        <v>0</v>
      </c>
      <c r="M233" s="17">
        <f>N("Savings")-IF(DAY(A233)=Budget!$G$7,Budget!$F$7,0)</f>
        <v>0</v>
      </c>
      <c r="N233" s="17">
        <f>N("Car Insurance")-COUNTIF(Budget!$G$14, A233)*Budget!$F$14</f>
        <v>0</v>
      </c>
      <c r="O233" s="17">
        <f>N("Phone Bill")-COUNTIF(Budget!$G$15, A233)*Budget!$F$15</f>
        <v>0</v>
      </c>
      <c r="Q233" s="17">
        <f>N("Spotify")-IF(AND(DAY($A233)=Budget!$M$3, MONTH($A233)=Budget!$L$3),Budget!$K$3,0)</f>
        <v>0</v>
      </c>
      <c r="R233" s="17">
        <f>N("Spotify")-IF(AND(DAY($A233)=Budget!$M$4, MONTH($A233)=Budget!$L$4),Budget!$K$4,0)</f>
        <v>0</v>
      </c>
      <c r="S233" s="17">
        <f>N("Spotify")-IF(AND(DAY($A233)=Budget!$M$5, MONTH($A233)=Budget!$L$5),Budget!$K$5,0)</f>
        <v>0</v>
      </c>
      <c r="T233" s="17">
        <f>N("Amazon Prime")-IF(DAY(A233)=Budget!$Q$3,Budget!$P$3,0)</f>
        <v>0</v>
      </c>
      <c r="U233" s="17">
        <f>N("Audible")-IF(DAY(A233)=Budget!$Q$12,Budget!$P$12,0)</f>
        <v>0</v>
      </c>
      <c r="V233" s="17">
        <f>N("Crunchyroll")-IF(DAY(A233)=Budget!$Q$5,Budget!$P$5,0)</f>
        <v>0</v>
      </c>
      <c r="W233" s="17">
        <f>N("HBO Max")-IF(DAY(A233)=Budget!$Q$6,Budget!$P$6,0)</f>
        <v>0</v>
      </c>
      <c r="X233" s="17">
        <f>N("Netflix")-IF(DAY(A233)=Budget!$Q$7,Budget!$P$7,0)</f>
        <v>0</v>
      </c>
      <c r="Y233" s="17">
        <f>N("Spotify")-IF(DAY(A233)=Budget!$Q$8,Budget!$P$8,0)</f>
        <v>0</v>
      </c>
      <c r="Z233" s="17">
        <f>N("Truebill")-IF(DAY(A233)=Budget!$Q$9,Budget!$P$9,0)</f>
        <v>0</v>
      </c>
      <c r="AA233" s="6">
        <f t="shared" si="24"/>
        <v>0</v>
      </c>
    </row>
    <row r="234" spans="1:30" x14ac:dyDescent="0.3">
      <c r="A234" s="4">
        <f t="shared" si="26"/>
        <v>45866</v>
      </c>
      <c r="B234" s="2">
        <f t="shared" si="25"/>
        <v>3546.1900000000005</v>
      </c>
      <c r="C234" s="7">
        <f t="shared" si="27"/>
        <v>0</v>
      </c>
      <c r="D234" s="1">
        <v>0</v>
      </c>
      <c r="E234" s="17">
        <f>N("PAY-LM")+IF(WEEKDAY(A234)=Budget!$C$3,Budget!$B$3,0)</f>
        <v>0</v>
      </c>
      <c r="F234" s="17">
        <f>N("Rent")-IF(DAY(A234)=Budget!$G$3,Budget!$F$3,0)</f>
        <v>0</v>
      </c>
      <c r="G234" s="17">
        <f>N("Car")-IF(DAY(A234)=Budget!$G$4,Budget!$F$4+Budget!$H$4,0)</f>
        <v>0</v>
      </c>
      <c r="H234" s="17">
        <f>N("Mom Rent")-IF(DAY(A234)=Budget!$G$5,Budget!$F$5,0)</f>
        <v>0</v>
      </c>
      <c r="I234" s="17">
        <f>N("AT&amp;T")-IF(DAY(A234)=Budget!$G$8,Budget!$F$8,0)</f>
        <v>0</v>
      </c>
      <c r="J234" s="17">
        <f>N("GA Power")-IF(DAY(A234)=Budget!$G$9,Budget!$F$9,0)</f>
        <v>0</v>
      </c>
      <c r="K234" s="17">
        <f>N("Haircut")-IF(DAY(A234)=Budget!$G$10,Budget!$F$10,0)</f>
        <v>0</v>
      </c>
      <c r="L234" s="17">
        <f>N("Groceries")-IF(DAY(A234)=Budget!$G$6,Budget!$F$6,0)</f>
        <v>0</v>
      </c>
      <c r="M234" s="17">
        <f>N("Savings")-IF(DAY(A234)=Budget!$G$7,Budget!$F$7,0)</f>
        <v>-1000</v>
      </c>
      <c r="N234" s="17">
        <f>N("Car Insurance")-COUNTIF(Budget!$G$14, A234)*Budget!$F$14</f>
        <v>0</v>
      </c>
      <c r="O234" s="17">
        <f>N("Phone Bill")-COUNTIF(Budget!$G$15, A234)*Budget!$F$15</f>
        <v>0</v>
      </c>
      <c r="Q234" s="17">
        <f>N("Spotify")-IF(AND(DAY($A234)=Budget!$M$3, MONTH($A234)=Budget!$L$3),Budget!$K$3,0)</f>
        <v>0</v>
      </c>
      <c r="R234" s="17">
        <f>N("Spotify")-IF(AND(DAY($A234)=Budget!$M$4, MONTH($A234)=Budget!$L$4),Budget!$K$4,0)</f>
        <v>0</v>
      </c>
      <c r="S234" s="17">
        <f>N("Spotify")-IF(AND(DAY($A234)=Budget!$M$5, MONTH($A234)=Budget!$L$5),Budget!$K$5,0)</f>
        <v>0</v>
      </c>
      <c r="T234" s="17">
        <f>N("Amazon Prime")-IF(DAY(A234)=Budget!$Q$3,Budget!$P$3,0)</f>
        <v>0</v>
      </c>
      <c r="U234" s="17">
        <f>N("Audible")-IF(DAY(A234)=Budget!$Q$12,Budget!$P$12,0)</f>
        <v>0</v>
      </c>
      <c r="V234" s="17">
        <f>N("Crunchyroll")-IF(DAY(A234)=Budget!$Q$5,Budget!$P$5,0)</f>
        <v>0</v>
      </c>
      <c r="W234" s="17">
        <f>N("HBO Max")-IF(DAY(A234)=Budget!$Q$6,Budget!$P$6,0)</f>
        <v>0</v>
      </c>
      <c r="X234" s="17">
        <f>N("Netflix")-IF(DAY(A234)=Budget!$Q$7,Budget!$P$7,0)</f>
        <v>0</v>
      </c>
      <c r="Y234" s="17">
        <f>N("Spotify")-IF(DAY(A234)=Budget!$Q$8,Budget!$P$8,0)</f>
        <v>-150</v>
      </c>
      <c r="Z234" s="17">
        <f>N("Truebill")-IF(DAY(A234)=Budget!$Q$9,Budget!$P$9,0)</f>
        <v>0</v>
      </c>
      <c r="AA234" s="6">
        <f t="shared" si="24"/>
        <v>-1150</v>
      </c>
    </row>
    <row r="235" spans="1:30" x14ac:dyDescent="0.3">
      <c r="A235" s="4">
        <f t="shared" si="26"/>
        <v>45867</v>
      </c>
      <c r="B235" s="2">
        <f t="shared" si="25"/>
        <v>3521.5900000000006</v>
      </c>
      <c r="C235" s="7">
        <f>IF(B235&gt;B234,2,IF(B235=B234, 1,0))</f>
        <v>0</v>
      </c>
      <c r="D235" s="1">
        <v>0</v>
      </c>
      <c r="E235" s="17">
        <f>N("PAY-LM")+IF(WEEKDAY(A235)=Budget!$C$3,Budget!$B$3,0)</f>
        <v>0</v>
      </c>
      <c r="F235" s="17">
        <f>N("Rent")-IF(DAY(A235)=Budget!$G$3,Budget!$F$3,0)</f>
        <v>0</v>
      </c>
      <c r="G235" s="17">
        <f>N("Car")-IF(DAY(A235)=Budget!$G$4,Budget!$F$4+Budget!$H$4,0)</f>
        <v>0</v>
      </c>
      <c r="H235" s="17">
        <f>N("Mom Rent")-IF(DAY(A235)=Budget!$G$5,Budget!$F$5,0)</f>
        <v>0</v>
      </c>
      <c r="I235" s="17">
        <f>N("AT&amp;T")-IF(DAY(A235)=Budget!$G$8,Budget!$F$8,0)</f>
        <v>0</v>
      </c>
      <c r="J235" s="17">
        <f>N("GA Power")-IF(DAY(A235)=Budget!$G$9,Budget!$F$9,0)</f>
        <v>0</v>
      </c>
      <c r="K235" s="17">
        <f>N("Haircut")-IF(DAY(A235)=Budget!$G$10,Budget!$F$10,0)</f>
        <v>0</v>
      </c>
      <c r="L235" s="17">
        <f>N("Groceries")-IF(DAY(A235)=Budget!$G$6,Budget!$F$6,0)</f>
        <v>0</v>
      </c>
      <c r="M235" s="17">
        <f>N("Savings")-IF(DAY(A235)=Budget!$G$7,Budget!$F$7,0)</f>
        <v>0</v>
      </c>
      <c r="N235" s="17">
        <f>N("Car Insurance")-COUNTIF(Budget!$G$14, A235)*Budget!$F$14</f>
        <v>0</v>
      </c>
      <c r="O235" s="17">
        <f>N("Phone Bill")-COUNTIF(Budget!$G$15, A235)*Budget!$F$15</f>
        <v>0</v>
      </c>
      <c r="Q235" s="17">
        <f>N("Spotify")-IF(AND(DAY($A235)=Budget!$M$3, MONTH($A235)=Budget!$L$3),Budget!$K$3,0)</f>
        <v>0</v>
      </c>
      <c r="R235" s="17">
        <f>N("Spotify")-IF(AND(DAY($A235)=Budget!$M$4, MONTH($A235)=Budget!$L$4),Budget!$K$4,0)</f>
        <v>0</v>
      </c>
      <c r="S235" s="17">
        <f>N("Spotify")-IF(AND(DAY($A235)=Budget!$M$5, MONTH($A235)=Budget!$L$5),Budget!$K$5,0)</f>
        <v>0</v>
      </c>
      <c r="T235" s="17">
        <f>N("Amazon Prime")-IF(DAY(A235)=Budget!$Q$3,Budget!$P$3,0)</f>
        <v>0</v>
      </c>
      <c r="U235" s="17">
        <f>N("Audible")-IF(DAY(A235)=Budget!$Q$12,Budget!$P$12,0)</f>
        <v>0</v>
      </c>
      <c r="V235" s="17">
        <f>N("Crunchyroll")-IF(DAY(A235)=Budget!$Q$5,Budget!$P$5,0)</f>
        <v>-24.6</v>
      </c>
      <c r="W235" s="17">
        <f>N("HBO Max")-IF(DAY(A235)=Budget!$Q$6,Budget!$P$6,0)</f>
        <v>0</v>
      </c>
      <c r="X235" s="17">
        <f>N("Netflix")-IF(DAY(A235)=Budget!$Q$7,Budget!$P$7,0)</f>
        <v>0</v>
      </c>
      <c r="Y235" s="17">
        <f>N("Spotify")-IF(DAY(A235)=Budget!$Q$8,Budget!$P$8,0)</f>
        <v>0</v>
      </c>
      <c r="Z235" s="17">
        <f>N("Truebill")-IF(DAY(A235)=Budget!$Q$9,Budget!$P$9,0)</f>
        <v>0</v>
      </c>
      <c r="AA235" s="6">
        <f t="shared" si="24"/>
        <v>-24.6</v>
      </c>
    </row>
    <row r="236" spans="1:30" x14ac:dyDescent="0.3">
      <c r="A236" s="4">
        <f t="shared" si="26"/>
        <v>45868</v>
      </c>
      <c r="B236" s="2">
        <f t="shared" si="25"/>
        <v>3521.5900000000006</v>
      </c>
      <c r="C236" s="7">
        <f>IF(B236&gt;B235,2,IF(B236=B235, 1,0))</f>
        <v>1</v>
      </c>
      <c r="D236" s="1">
        <v>0</v>
      </c>
      <c r="E236" s="17">
        <f>N("PAY-LM")+IF(WEEKDAY(A236)=Budget!$C$3,Budget!$B$3,0)</f>
        <v>0</v>
      </c>
      <c r="F236" s="17">
        <f>N("Rent")-IF(DAY(A236)=Budget!$G$3,Budget!$F$3,0)</f>
        <v>0</v>
      </c>
      <c r="G236" s="17">
        <f>N("Car")-IF(DAY(A236)=Budget!$G$4,Budget!$F$4+Budget!$H$4,0)</f>
        <v>0</v>
      </c>
      <c r="H236" s="17">
        <f>N("Mom Rent")-IF(DAY(A236)=Budget!$G$5,Budget!$F$5,0)</f>
        <v>0</v>
      </c>
      <c r="I236" s="17">
        <f>N("AT&amp;T")-IF(DAY(A236)=Budget!$G$8,Budget!$F$8,0)</f>
        <v>0</v>
      </c>
      <c r="J236" s="17">
        <f>N("GA Power")-IF(DAY(A236)=Budget!$G$9,Budget!$F$9,0)</f>
        <v>0</v>
      </c>
      <c r="K236" s="17">
        <f>N("Haircut")-IF(DAY(A236)=Budget!$G$10,Budget!$F$10,0)</f>
        <v>0</v>
      </c>
      <c r="L236" s="17">
        <f>N("Groceries")-IF(DAY(A236)=Budget!$G$6,Budget!$F$6,0)</f>
        <v>0</v>
      </c>
      <c r="M236" s="17">
        <f>N("Savings")-IF(DAY(A236)=Budget!$G$7,Budget!$F$7,0)</f>
        <v>0</v>
      </c>
      <c r="N236" s="17">
        <f>N("Car Insurance")-COUNTIF(Budget!$G$14, A236)*Budget!$F$14</f>
        <v>0</v>
      </c>
      <c r="O236" s="17">
        <f>N("Phone Bill")-COUNTIF(Budget!$G$15, A236)*Budget!$F$15</f>
        <v>0</v>
      </c>
      <c r="Q236" s="17">
        <f>N("Spotify")-IF(AND(DAY($A236)=Budget!$M$3, MONTH($A236)=Budget!$L$3),Budget!$K$3,0)</f>
        <v>0</v>
      </c>
      <c r="R236" s="17">
        <f>N("Spotify")-IF(AND(DAY($A236)=Budget!$M$4, MONTH($A236)=Budget!$L$4),Budget!$K$4,0)</f>
        <v>0</v>
      </c>
      <c r="S236" s="17">
        <f>N("Spotify")-IF(AND(DAY($A236)=Budget!$M$5, MONTH($A236)=Budget!$L$5),Budget!$K$5,0)</f>
        <v>0</v>
      </c>
      <c r="T236" s="17">
        <f>N("Amazon Prime")-IF(DAY(A236)=Budget!$Q$3,Budget!$P$3,0)</f>
        <v>0</v>
      </c>
      <c r="U236" s="17">
        <f>N("Audible")-IF(DAY(A236)=Budget!$Q$12,Budget!$P$12,0)</f>
        <v>0</v>
      </c>
      <c r="V236" s="17">
        <f>N("Crunchyroll")-IF(DAY(A236)=Budget!$Q$5,Budget!$P$5,0)</f>
        <v>0</v>
      </c>
      <c r="W236" s="17">
        <f>N("HBO Max")-IF(DAY(A236)=Budget!$Q$6,Budget!$P$6,0)</f>
        <v>0</v>
      </c>
      <c r="X236" s="17">
        <f>N("Netflix")-IF(DAY(A236)=Budget!$Q$7,Budget!$P$7,0)</f>
        <v>0</v>
      </c>
      <c r="Y236" s="17">
        <f>N("Spotify")-IF(DAY(A236)=Budget!$Q$8,Budget!$P$8,0)</f>
        <v>0</v>
      </c>
      <c r="Z236" s="17">
        <f>N("Truebill")-IF(DAY(A236)=Budget!$Q$9,Budget!$P$9,0)</f>
        <v>0</v>
      </c>
      <c r="AA236" s="6">
        <f t="shared" si="24"/>
        <v>0</v>
      </c>
    </row>
    <row r="237" spans="1:30" x14ac:dyDescent="0.3">
      <c r="A237" s="4">
        <f t="shared" si="26"/>
        <v>45869</v>
      </c>
      <c r="B237" s="2">
        <f t="shared" si="25"/>
        <v>3521.5900000000006</v>
      </c>
      <c r="C237" s="7">
        <f>IF(B237&gt;B236,2,IF(B237=B236, 1,0))</f>
        <v>1</v>
      </c>
      <c r="D237" s="1">
        <v>0</v>
      </c>
      <c r="E237" s="17">
        <f>N("PAY-LM")+IF(WEEKDAY(A237)=Budget!$C$3,Budget!$B$3,0)</f>
        <v>0</v>
      </c>
      <c r="F237" s="17">
        <f>N("Rent")-IF(DAY(A237)=Budget!$G$3,Budget!$F$3,0)</f>
        <v>0</v>
      </c>
      <c r="G237" s="17">
        <f>N("Car")-IF(DAY(A237)=Budget!$G$4,Budget!$F$4+Budget!$H$4,0)</f>
        <v>0</v>
      </c>
      <c r="H237" s="17">
        <f>N("Mom Rent")-IF(DAY(A237)=Budget!$G$5,Budget!$F$5,0)</f>
        <v>0</v>
      </c>
      <c r="I237" s="17">
        <f>N("AT&amp;T")-IF(DAY(A237)=Budget!$G$8,Budget!$F$8,0)</f>
        <v>0</v>
      </c>
      <c r="J237" s="17">
        <f>N("GA Power")-IF(DAY(A237)=Budget!$G$9,Budget!$F$9,0)</f>
        <v>0</v>
      </c>
      <c r="K237" s="17">
        <f>N("Haircut")-IF(DAY(A237)=Budget!$G$10,Budget!$F$10,0)</f>
        <v>0</v>
      </c>
      <c r="L237" s="17">
        <f>N("Groceries")-IF(DAY(A237)=Budget!$G$6,Budget!$F$6,0)</f>
        <v>0</v>
      </c>
      <c r="M237" s="17">
        <f>N("Savings")-IF(DAY(A237)=Budget!$G$7,Budget!$F$7,0)</f>
        <v>0</v>
      </c>
      <c r="N237" s="17">
        <f>N("Car Insurance")-COUNTIF(Budget!$G$14, A237)*Budget!$F$14</f>
        <v>0</v>
      </c>
      <c r="O237" s="17">
        <f>N("Phone Bill")-COUNTIF(Budget!$G$15, A237)*Budget!$F$15</f>
        <v>0</v>
      </c>
      <c r="Q237" s="17">
        <f>N("Spotify")-IF(AND(DAY($A237)=Budget!$M$3, MONTH($A237)=Budget!$L$3),Budget!$K$3,0)</f>
        <v>0</v>
      </c>
      <c r="R237" s="17">
        <f>N("Spotify")-IF(AND(DAY($A237)=Budget!$M$4, MONTH($A237)=Budget!$L$4),Budget!$K$4,0)</f>
        <v>0</v>
      </c>
      <c r="S237" s="17">
        <f>N("Spotify")-IF(AND(DAY($A237)=Budget!$M$5, MONTH($A237)=Budget!$L$5),Budget!$K$5,0)</f>
        <v>0</v>
      </c>
      <c r="T237" s="17">
        <f>N("Amazon Prime")-IF(DAY(A237)=Budget!$Q$3,Budget!$P$3,0)</f>
        <v>0</v>
      </c>
      <c r="U237" s="17">
        <f>N("Audible")-IF(DAY(A237)=Budget!$Q$12,Budget!$P$12,0)</f>
        <v>0</v>
      </c>
      <c r="V237" s="17">
        <f>N("Crunchyroll")-IF(DAY(A237)=Budget!$Q$5,Budget!$P$5,0)</f>
        <v>0</v>
      </c>
      <c r="W237" s="17">
        <f>N("HBO Max")-IF(DAY(A237)=Budget!$Q$6,Budget!$P$6,0)</f>
        <v>0</v>
      </c>
      <c r="X237" s="17">
        <f>N("Netflix")-IF(DAY(A237)=Budget!$Q$7,Budget!$P$7,0)</f>
        <v>0</v>
      </c>
      <c r="Y237" s="17">
        <f>N("Spotify")-IF(DAY(A237)=Budget!$Q$8,Budget!$P$8,0)</f>
        <v>0</v>
      </c>
      <c r="Z237" s="17">
        <f>N("Truebill")-IF(DAY(A237)=Budget!$Q$9,Budget!$P$9,0)</f>
        <v>0</v>
      </c>
      <c r="AA237" s="6">
        <f t="shared" si="24"/>
        <v>0</v>
      </c>
    </row>
    <row r="240" spans="1:30" x14ac:dyDescent="0.3">
      <c r="D240" s="40" t="s">
        <v>17</v>
      </c>
      <c r="E240" s="41" t="s">
        <v>15</v>
      </c>
      <c r="F240" s="41"/>
      <c r="G240" s="41"/>
      <c r="H240" s="41"/>
      <c r="I240" s="41"/>
      <c r="J240" s="41"/>
      <c r="K240" s="41"/>
      <c r="L240" s="41"/>
      <c r="M240" s="41"/>
      <c r="N240" s="42" t="str">
        <f>Budget!$E$12</f>
        <v>Annual Expenses</v>
      </c>
      <c r="O240" s="42"/>
      <c r="Q240" s="43" t="s">
        <v>36</v>
      </c>
      <c r="R240" s="43"/>
      <c r="S240" s="43"/>
      <c r="T240" s="41" t="s">
        <v>8</v>
      </c>
      <c r="U240" s="41"/>
      <c r="V240" s="41"/>
      <c r="W240" s="41"/>
      <c r="X240" s="41"/>
      <c r="Y240" s="41"/>
      <c r="Z240" s="41"/>
      <c r="AA240" s="10" t="s">
        <v>16</v>
      </c>
      <c r="AC240" s="6">
        <f>SUMIF(D242:Z271,"&lt;0")</f>
        <v>-5121.42</v>
      </c>
      <c r="AD240" s="6">
        <f>SUM(E242:E271)</f>
        <v>7265</v>
      </c>
    </row>
    <row r="241" spans="1:29" x14ac:dyDescent="0.3">
      <c r="A241" s="39">
        <f>EDATE(A206,1)</f>
        <v>45870</v>
      </c>
      <c r="B241" s="39"/>
      <c r="D241" s="40"/>
      <c r="E241" s="18" t="str">
        <f>Budget!$A$3</f>
        <v>PAY-LM</v>
      </c>
      <c r="F241" t="str">
        <f>Budget!$E$3</f>
        <v>Rent</v>
      </c>
      <c r="G241" t="str">
        <f>Budget!$E$4</f>
        <v>Car</v>
      </c>
      <c r="H241" t="str">
        <f>Budget!$E$5</f>
        <v>Mom Rent</v>
      </c>
      <c r="I241" t="str">
        <f>Budget!$E$8</f>
        <v>AT&amp;T</v>
      </c>
      <c r="J241" t="str">
        <f>Budget!$E$9</f>
        <v>GA Power</v>
      </c>
      <c r="K241" t="str">
        <f>Budget!$E$10</f>
        <v>TH</v>
      </c>
      <c r="L241" t="str">
        <f>Budget!$E$6</f>
        <v>Groceries</v>
      </c>
      <c r="M241" s="16" t="str">
        <f>Budget!$E$7</f>
        <v>Savings</v>
      </c>
      <c r="N241" t="str">
        <f>Budget!$E$14</f>
        <v>Car Insurance</v>
      </c>
      <c r="O241" t="str">
        <f>Budget!$E$15</f>
        <v>Phone Bill</v>
      </c>
      <c r="Q241" t="str">
        <f>Budget!$J$3</f>
        <v>Capital One</v>
      </c>
      <c r="R241" t="str">
        <f>Budget!$J$4</f>
        <v>Chase</v>
      </c>
      <c r="S241" t="str">
        <f>Budget!$J$5</f>
        <v>NFCU</v>
      </c>
      <c r="T241" t="str">
        <f>Budget!$O$3</f>
        <v>Amazon Prime</v>
      </c>
      <c r="U241" t="str">
        <f>Budget!$O$12</f>
        <v>Audible</v>
      </c>
      <c r="V241" t="str">
        <f>Budget!$O$5</f>
        <v>Netflix</v>
      </c>
      <c r="W241" t="str">
        <f>Budget!$O$6</f>
        <v>Spotify</v>
      </c>
      <c r="X241" t="str">
        <f>Budget!$O$7</f>
        <v>Rocket Money</v>
      </c>
      <c r="Y241" t="str">
        <f>Budget!$O$8</f>
        <v>Little4Much</v>
      </c>
      <c r="Z241" t="str">
        <f>Budget!$O$9</f>
        <v>None</v>
      </c>
      <c r="AA241" s="10"/>
      <c r="AC241" s="3">
        <f>AD240+AC240</f>
        <v>2143.58</v>
      </c>
    </row>
    <row r="242" spans="1:29" x14ac:dyDescent="0.3">
      <c r="A242" s="4">
        <f>A241</f>
        <v>45870</v>
      </c>
      <c r="B242" s="2">
        <f>B237+AA242</f>
        <v>3241.5900000000006</v>
      </c>
      <c r="C242" s="7">
        <f>IF(B242&gt;B237,2,IF(B242=B237, 1,0))</f>
        <v>0</v>
      </c>
      <c r="D242" s="1">
        <v>0</v>
      </c>
      <c r="E242" s="17">
        <f>N("PAY-LM")+IF(WEEKDAY(A242)=Budget!$C$3,Budget!$B$3,0)</f>
        <v>1453</v>
      </c>
      <c r="F242" s="17">
        <f>N("Rent")-IF(DAY(A242)=Budget!$G$3,Budget!$F$3,0)</f>
        <v>-1733</v>
      </c>
      <c r="G242" s="17">
        <f>N("Car")-IF(DAY(A242)=Budget!$G$4,Budget!$F$4+Budget!$H$4,0)</f>
        <v>0</v>
      </c>
      <c r="H242" s="17">
        <f>N("Mom Rent")-IF(DAY(A242)=Budget!$G$5,Budget!$F$5,0)</f>
        <v>0</v>
      </c>
      <c r="I242" s="17">
        <f>N("AT&amp;T")-IF(DAY(A242)=Budget!$G$8,Budget!$F$8,0)</f>
        <v>0</v>
      </c>
      <c r="J242" s="17">
        <f>N("GA Power")-IF(DAY(A242)=Budget!$G$9,Budget!$F$9,0)</f>
        <v>0</v>
      </c>
      <c r="K242" s="17">
        <f>N("Haircut")-IF(DAY(A242)=Budget!$G$10,Budget!$F$10,0)</f>
        <v>0</v>
      </c>
      <c r="L242" s="17">
        <f>N("Groceries")-IF(DAY(A242)=Budget!$G$6,Budget!$F$6,0)</f>
        <v>0</v>
      </c>
      <c r="M242" s="17">
        <f>N("Savings")-IF(DAY(A242)=Budget!$G$7,Budget!$F$7,0)</f>
        <v>0</v>
      </c>
      <c r="N242" s="17">
        <f>N("Car Insurance")-COUNTIF(Budget!$G$14, A242)*Budget!$F$14</f>
        <v>0</v>
      </c>
      <c r="O242" s="17">
        <f>N("Phone Bill")-COUNTIF(Budget!$G$15, A242)*Budget!$F$15</f>
        <v>0</v>
      </c>
      <c r="Q242" s="17">
        <f>N("Spotify")-IF(AND(DAY($A242)=Budget!$M$3, MONTH($A242)=Budget!$L$3),Budget!$K$3,0)</f>
        <v>0</v>
      </c>
      <c r="R242" s="17">
        <f>N("Spotify")-IF(AND(DAY($A242)=Budget!$M$4, MONTH($A242)=Budget!$L$4),Budget!$K$4,0)</f>
        <v>0</v>
      </c>
      <c r="S242" s="17">
        <f>N("Spotify")-IF(AND(DAY($A242)=Budget!$M$5, MONTH($A242)=Budget!$L$5),Budget!$K$5,0)</f>
        <v>0</v>
      </c>
      <c r="T242" s="17">
        <f>N("Amazon Prime")-IF(DAY(A242)=Budget!$Q$3,Budget!$P$3,0)</f>
        <v>0</v>
      </c>
      <c r="U242" s="17">
        <f>N("Audible")-IF(DAY(A242)=Budget!$Q$12,Budget!$P$12,0)</f>
        <v>0</v>
      </c>
      <c r="V242" s="17">
        <f>N("Crunchyroll")-IF(DAY(A242)=Budget!$Q$5,Budget!$P$5,0)</f>
        <v>0</v>
      </c>
      <c r="W242" s="17">
        <f>N("HBO Max")-IF(DAY(A242)=Budget!$Q$6,Budget!$P$6,0)</f>
        <v>0</v>
      </c>
      <c r="X242" s="17">
        <f>N("Netflix")-IF(DAY(A242)=Budget!$Q$7,Budget!$P$7,0)</f>
        <v>0</v>
      </c>
      <c r="Y242" s="17">
        <f>N("Spotify")-IF(DAY(A242)=Budget!$Q$8,Budget!$P$8,0)</f>
        <v>0</v>
      </c>
      <c r="Z242" s="17">
        <f>N("Truebill")-IF(DAY(A242)=Budget!$Q$9,Budget!$P$9,0)</f>
        <v>0</v>
      </c>
      <c r="AA242" s="6">
        <f t="shared" ref="AA242:AA272" si="28">SUM(D242:Z242)</f>
        <v>-280</v>
      </c>
    </row>
    <row r="243" spans="1:29" x14ac:dyDescent="0.3">
      <c r="A243" s="4">
        <f>A242+1</f>
        <v>45871</v>
      </c>
      <c r="B243" s="2">
        <f t="shared" ref="B243:B272" si="29">B242+AA243</f>
        <v>2438.2400000000007</v>
      </c>
      <c r="C243" s="7">
        <f>IF(B243&gt;B242,2,IF(B243=B242, 1,0))</f>
        <v>0</v>
      </c>
      <c r="D243" s="1">
        <v>0</v>
      </c>
      <c r="E243" s="17">
        <f>N("PAY-LM")+IF(WEEKDAY(A243)=Budget!$C$3,Budget!$B$3,0)</f>
        <v>0</v>
      </c>
      <c r="F243" s="17">
        <f>N("Rent")-IF(DAY(A243)=Budget!$G$3,Budget!$F$3,0)</f>
        <v>0</v>
      </c>
      <c r="G243" s="17">
        <f>N("Car")-IF(DAY(A243)=Budget!$G$4,Budget!$F$4+Budget!$H$4,0)</f>
        <v>-503.35</v>
      </c>
      <c r="H243" s="17">
        <f>N("Mom Rent")-IF(DAY(A243)=Budget!$G$5,Budget!$F$5,0)</f>
        <v>0</v>
      </c>
      <c r="I243" s="17">
        <f>N("AT&amp;T")-IF(DAY(A243)=Budget!$G$8,Budget!$F$8,0)</f>
        <v>0</v>
      </c>
      <c r="J243" s="17">
        <f>N("GA Power")-IF(DAY(A243)=Budget!$G$9,Budget!$F$9,0)</f>
        <v>0</v>
      </c>
      <c r="K243" s="17">
        <f>N("Haircut")-IF(DAY(A243)=Budget!$G$10,Budget!$F$10,0)</f>
        <v>0</v>
      </c>
      <c r="L243" s="17">
        <f>N("Groceries")-IF(DAY(A243)=Budget!$G$6,Budget!$F$6,0)</f>
        <v>-300</v>
      </c>
      <c r="M243" s="17">
        <f>N("Savings")-IF(DAY(A243)=Budget!$G$7,Budget!$F$7,0)</f>
        <v>0</v>
      </c>
      <c r="N243" s="17">
        <f>N("Car Insurance")-COUNTIF(Budget!$G$14, A243)*Budget!$F$14</f>
        <v>0</v>
      </c>
      <c r="O243" s="17">
        <f>N("Phone Bill")-COUNTIF(Budget!$G$15, A243)*Budget!$F$15</f>
        <v>0</v>
      </c>
      <c r="Q243" s="17">
        <f>N("Spotify")-IF(AND(DAY($A243)=Budget!$M$3, MONTH($A243)=Budget!$L$3),Budget!$K$3,0)</f>
        <v>0</v>
      </c>
      <c r="R243" s="17">
        <f>N("Spotify")-IF(AND(DAY($A243)=Budget!$M$4, MONTH($A243)=Budget!$L$4),Budget!$K$4,0)</f>
        <v>0</v>
      </c>
      <c r="S243" s="17">
        <f>N("Spotify")-IF(AND(DAY($A243)=Budget!$M$5, MONTH($A243)=Budget!$L$5),Budget!$K$5,0)</f>
        <v>0</v>
      </c>
      <c r="T243" s="17">
        <f>N("Amazon Prime")-IF(DAY(A243)=Budget!$Q$3,Budget!$P$3,0)</f>
        <v>0</v>
      </c>
      <c r="U243" s="17">
        <f>N("Audible")-IF(DAY(A243)=Budget!$Q$12,Budget!$P$12,0)</f>
        <v>0</v>
      </c>
      <c r="V243" s="17">
        <f>N("Crunchyroll")-IF(DAY(A243)=Budget!$Q$5,Budget!$P$5,0)</f>
        <v>0</v>
      </c>
      <c r="W243" s="17">
        <f>N("HBO Max")-IF(DAY(A243)=Budget!$Q$6,Budget!$P$6,0)</f>
        <v>0</v>
      </c>
      <c r="X243" s="17">
        <f>N("Netflix")-IF(DAY(A243)=Budget!$Q$7,Budget!$P$7,0)</f>
        <v>0</v>
      </c>
      <c r="Y243" s="17">
        <f>N("Spotify")-IF(DAY(A243)=Budget!$Q$8,Budget!$P$8,0)</f>
        <v>0</v>
      </c>
      <c r="Z243" s="17">
        <f>N("Truebill")-IF(DAY(A243)=Budget!$Q$9,Budget!$P$9,0)</f>
        <v>0</v>
      </c>
      <c r="AA243" s="6">
        <f t="shared" si="28"/>
        <v>-803.35</v>
      </c>
    </row>
    <row r="244" spans="1:29" x14ac:dyDescent="0.3">
      <c r="A244" s="4">
        <f t="shared" ref="A244:A272" si="30">A243+1</f>
        <v>45872</v>
      </c>
      <c r="B244" s="2">
        <f t="shared" si="29"/>
        <v>2438.2400000000007</v>
      </c>
      <c r="C244" s="7">
        <f t="shared" ref="C244:C269" si="31">IF(B244&gt;B243,2,IF(B244=B243, 1,0))</f>
        <v>1</v>
      </c>
      <c r="D244" s="1">
        <v>0</v>
      </c>
      <c r="E244" s="17">
        <f>N("PAY-LM")+IF(WEEKDAY(A244)=Budget!$C$3,Budget!$B$3,0)</f>
        <v>0</v>
      </c>
      <c r="F244" s="17">
        <f>N("Rent")-IF(DAY(A244)=Budget!$G$3,Budget!$F$3,0)</f>
        <v>0</v>
      </c>
      <c r="G244" s="17">
        <f>N("Car")-IF(DAY(A244)=Budget!$G$4,Budget!$F$4+Budget!$H$4,0)</f>
        <v>0</v>
      </c>
      <c r="H244" s="17">
        <f>N("Mom Rent")-IF(DAY(A244)=Budget!$G$5,Budget!$F$5,0)</f>
        <v>0</v>
      </c>
      <c r="I244" s="17">
        <f>N("AT&amp;T")-IF(DAY(A244)=Budget!$G$8,Budget!$F$8,0)</f>
        <v>0</v>
      </c>
      <c r="J244" s="17">
        <f>N("GA Power")-IF(DAY(A244)=Budget!$G$9,Budget!$F$9,0)</f>
        <v>0</v>
      </c>
      <c r="K244" s="17">
        <f>N("Haircut")-IF(DAY(A244)=Budget!$G$10,Budget!$F$10,0)</f>
        <v>0</v>
      </c>
      <c r="L244" s="17">
        <f>N("Groceries")-IF(DAY(A244)=Budget!$G$6,Budget!$F$6,0)</f>
        <v>0</v>
      </c>
      <c r="M244" s="17">
        <f>N("Savings")-IF(DAY(A244)=Budget!$G$7,Budget!$F$7,0)</f>
        <v>0</v>
      </c>
      <c r="N244" s="17">
        <f>N("Car Insurance")-COUNTIF(Budget!$G$14, A244)*Budget!$F$14</f>
        <v>0</v>
      </c>
      <c r="O244" s="17">
        <f>N("Phone Bill")-COUNTIF(Budget!$G$15, A244)*Budget!$F$15</f>
        <v>0</v>
      </c>
      <c r="Q244" s="17">
        <f>N("Spotify")-IF(AND(DAY($A244)=Budget!$M$3, MONTH($A244)=Budget!$L$3),Budget!$K$3,0)</f>
        <v>0</v>
      </c>
      <c r="R244" s="17">
        <f>N("Spotify")-IF(AND(DAY($A244)=Budget!$M$4, MONTH($A244)=Budget!$L$4),Budget!$K$4,0)</f>
        <v>0</v>
      </c>
      <c r="S244" s="17">
        <f>N("Spotify")-IF(AND(DAY($A244)=Budget!$M$5, MONTH($A244)=Budget!$L$5),Budget!$K$5,0)</f>
        <v>0</v>
      </c>
      <c r="T244" s="17">
        <f>N("Amazon Prime")-IF(DAY(A244)=Budget!$Q$3,Budget!$P$3,0)</f>
        <v>0</v>
      </c>
      <c r="U244" s="17">
        <f>N("Audible")-IF(DAY(A244)=Budget!$Q$12,Budget!$P$12,0)</f>
        <v>0</v>
      </c>
      <c r="V244" s="17">
        <f>N("Crunchyroll")-IF(DAY(A244)=Budget!$Q$5,Budget!$P$5,0)</f>
        <v>0</v>
      </c>
      <c r="W244" s="17">
        <f>N("HBO Max")-IF(DAY(A244)=Budget!$Q$6,Budget!$P$6,0)</f>
        <v>0</v>
      </c>
      <c r="X244" s="17">
        <f>N("Netflix")-IF(DAY(A244)=Budget!$Q$7,Budget!$P$7,0)</f>
        <v>0</v>
      </c>
      <c r="Y244" s="17">
        <f>N("Spotify")-IF(DAY(A244)=Budget!$Q$8,Budget!$P$8,0)</f>
        <v>0</v>
      </c>
      <c r="Z244" s="17">
        <f>N("Truebill")-IF(DAY(A244)=Budget!$Q$9,Budget!$P$9,0)</f>
        <v>0</v>
      </c>
      <c r="AA244" s="6">
        <f t="shared" si="28"/>
        <v>0</v>
      </c>
    </row>
    <row r="245" spans="1:29" x14ac:dyDescent="0.3">
      <c r="A245" s="4">
        <f t="shared" si="30"/>
        <v>45873</v>
      </c>
      <c r="B245" s="2">
        <f t="shared" si="29"/>
        <v>2438.2400000000007</v>
      </c>
      <c r="C245" s="7">
        <f t="shared" si="31"/>
        <v>1</v>
      </c>
      <c r="D245" s="1">
        <v>0</v>
      </c>
      <c r="E245" s="17">
        <f>N("PAY-LM")+IF(WEEKDAY(A245)=Budget!$C$3,Budget!$B$3,0)</f>
        <v>0</v>
      </c>
      <c r="F245" s="17">
        <f>N("Rent")-IF(DAY(A245)=Budget!$G$3,Budget!$F$3,0)</f>
        <v>0</v>
      </c>
      <c r="G245" s="17">
        <f>N("Car")-IF(DAY(A245)=Budget!$G$4,Budget!$F$4+Budget!$H$4,0)</f>
        <v>0</v>
      </c>
      <c r="H245" s="17">
        <f>N("Mom Rent")-IF(DAY(A245)=Budget!$G$5,Budget!$F$5,0)</f>
        <v>0</v>
      </c>
      <c r="I245" s="17">
        <f>N("AT&amp;T")-IF(DAY(A245)=Budget!$G$8,Budget!$F$8,0)</f>
        <v>0</v>
      </c>
      <c r="J245" s="17">
        <f>N("GA Power")-IF(DAY(A245)=Budget!$G$9,Budget!$F$9,0)</f>
        <v>0</v>
      </c>
      <c r="K245" s="17">
        <f>N("Haircut")-IF(DAY(A245)=Budget!$G$10,Budget!$F$10,0)</f>
        <v>0</v>
      </c>
      <c r="L245" s="17">
        <f>N("Groceries")-IF(DAY(A245)=Budget!$G$6,Budget!$F$6,0)</f>
        <v>0</v>
      </c>
      <c r="M245" s="17">
        <f>N("Savings")-IF(DAY(A245)=Budget!$G$7,Budget!$F$7,0)</f>
        <v>0</v>
      </c>
      <c r="N245" s="17">
        <f>N("Car Insurance")-COUNTIF(Budget!$G$14, A245)*Budget!$F$14</f>
        <v>0</v>
      </c>
      <c r="O245" s="17">
        <f>N("Phone Bill")-COUNTIF(Budget!$G$15, A245)*Budget!$F$15</f>
        <v>0</v>
      </c>
      <c r="Q245" s="17">
        <f>N("Spotify")-IF(AND(DAY($A245)=Budget!$M$3, MONTH($A245)=Budget!$L$3),Budget!$K$3,0)</f>
        <v>0</v>
      </c>
      <c r="R245" s="17">
        <f>N("Spotify")-IF(AND(DAY($A245)=Budget!$M$4, MONTH($A245)=Budget!$L$4),Budget!$K$4,0)</f>
        <v>0</v>
      </c>
      <c r="S245" s="17">
        <f>N("Spotify")-IF(AND(DAY($A245)=Budget!$M$5, MONTH($A245)=Budget!$L$5),Budget!$K$5,0)</f>
        <v>0</v>
      </c>
      <c r="T245" s="17">
        <f>N("Amazon Prime")-IF(DAY(A245)=Budget!$Q$3,Budget!$P$3,0)</f>
        <v>0</v>
      </c>
      <c r="U245" s="17">
        <f>N("Audible")-IF(DAY(A245)=Budget!$Q$12,Budget!$P$12,0)</f>
        <v>0</v>
      </c>
      <c r="V245" s="17">
        <f>N("Crunchyroll")-IF(DAY(A245)=Budget!$Q$5,Budget!$P$5,0)</f>
        <v>0</v>
      </c>
      <c r="W245" s="17">
        <f>N("HBO Max")-IF(DAY(A245)=Budget!$Q$6,Budget!$P$6,0)</f>
        <v>0</v>
      </c>
      <c r="X245" s="17">
        <f>N("Netflix")-IF(DAY(A245)=Budget!$Q$7,Budget!$P$7,0)</f>
        <v>0</v>
      </c>
      <c r="Y245" s="17">
        <f>N("Spotify")-IF(DAY(A245)=Budget!$Q$8,Budget!$P$8,0)</f>
        <v>0</v>
      </c>
      <c r="Z245" s="17">
        <f>N("Truebill")-IF(DAY(A245)=Budget!$Q$9,Budget!$P$9,0)</f>
        <v>0</v>
      </c>
      <c r="AA245" s="6">
        <f t="shared" si="28"/>
        <v>0</v>
      </c>
    </row>
    <row r="246" spans="1:29" x14ac:dyDescent="0.3">
      <c r="A246" s="4">
        <f t="shared" si="30"/>
        <v>45874</v>
      </c>
      <c r="B246" s="2">
        <f t="shared" si="29"/>
        <v>2368.2400000000007</v>
      </c>
      <c r="C246" s="7">
        <f t="shared" si="31"/>
        <v>0</v>
      </c>
      <c r="D246" s="1">
        <v>0</v>
      </c>
      <c r="E246" s="17">
        <f>N("PAY-LM")+IF(WEEKDAY(A246)=Budget!$C$3,Budget!$B$3,0)</f>
        <v>0</v>
      </c>
      <c r="F246" s="17">
        <f>N("Rent")-IF(DAY(A246)=Budget!$G$3,Budget!$F$3,0)</f>
        <v>0</v>
      </c>
      <c r="G246" s="17">
        <f>N("Car")-IF(DAY(A246)=Budget!$G$4,Budget!$F$4+Budget!$H$4,0)</f>
        <v>0</v>
      </c>
      <c r="H246" s="17">
        <f>N("Mom Rent")-IF(DAY(A246)=Budget!$G$5,Budget!$F$5,0)</f>
        <v>0</v>
      </c>
      <c r="I246" s="17">
        <f>N("AT&amp;T")-IF(DAY(A246)=Budget!$G$8,Budget!$F$8,0)</f>
        <v>0</v>
      </c>
      <c r="J246" s="17">
        <f>N("GA Power")-IF(DAY(A246)=Budget!$G$9,Budget!$F$9,0)</f>
        <v>-70</v>
      </c>
      <c r="K246" s="17">
        <f>N("Haircut")-IF(DAY(A246)=Budget!$G$10,Budget!$F$10,0)</f>
        <v>0</v>
      </c>
      <c r="L246" s="17">
        <f>N("Groceries")-IF(DAY(A246)=Budget!$G$6,Budget!$F$6,0)</f>
        <v>0</v>
      </c>
      <c r="M246" s="17">
        <f>N("Savings")-IF(DAY(A246)=Budget!$G$7,Budget!$F$7,0)</f>
        <v>0</v>
      </c>
      <c r="N246" s="17">
        <f>N("Car Insurance")-COUNTIF(Budget!$G$14, A246)*Budget!$F$14</f>
        <v>0</v>
      </c>
      <c r="O246" s="17">
        <f>N("Phone Bill")-COUNTIF(Budget!$G$15, A246)*Budget!$F$15</f>
        <v>0</v>
      </c>
      <c r="Q246" s="17">
        <f>N("Spotify")-IF(AND(DAY($A246)=Budget!$M$3, MONTH($A246)=Budget!$L$3),Budget!$K$3,0)</f>
        <v>0</v>
      </c>
      <c r="R246" s="17">
        <f>N("Spotify")-IF(AND(DAY($A246)=Budget!$M$4, MONTH($A246)=Budget!$L$4),Budget!$K$4,0)</f>
        <v>0</v>
      </c>
      <c r="S246" s="17">
        <f>N("Spotify")-IF(AND(DAY($A246)=Budget!$M$5, MONTH($A246)=Budget!$L$5),Budget!$K$5,0)</f>
        <v>0</v>
      </c>
      <c r="T246" s="17">
        <f>N("Amazon Prime")-IF(DAY(A246)=Budget!$Q$3,Budget!$P$3,0)</f>
        <v>0</v>
      </c>
      <c r="U246" s="17">
        <f>N("Audible")-IF(DAY(A246)=Budget!$Q$12,Budget!$P$12,0)</f>
        <v>0</v>
      </c>
      <c r="V246" s="17">
        <f>N("Crunchyroll")-IF(DAY(A246)=Budget!$Q$5,Budget!$P$5,0)</f>
        <v>0</v>
      </c>
      <c r="W246" s="17">
        <f>N("HBO Max")-IF(DAY(A246)=Budget!$Q$6,Budget!$P$6,0)</f>
        <v>0</v>
      </c>
      <c r="X246" s="17">
        <f>N("Netflix")-IF(DAY(A246)=Budget!$Q$7,Budget!$P$7,0)</f>
        <v>0</v>
      </c>
      <c r="Y246" s="17">
        <f>N("Spotify")-IF(DAY(A246)=Budget!$Q$8,Budget!$P$8,0)</f>
        <v>0</v>
      </c>
      <c r="Z246" s="17">
        <f>N("Truebill")-IF(DAY(A246)=Budget!$Q$9,Budget!$P$9,0)</f>
        <v>0</v>
      </c>
      <c r="AA246" s="6">
        <f t="shared" si="28"/>
        <v>-70</v>
      </c>
    </row>
    <row r="247" spans="1:29" x14ac:dyDescent="0.3">
      <c r="A247" s="4">
        <f t="shared" si="30"/>
        <v>45875</v>
      </c>
      <c r="B247" s="2">
        <f t="shared" si="29"/>
        <v>2368.2400000000007</v>
      </c>
      <c r="C247" s="7">
        <f t="shared" si="31"/>
        <v>1</v>
      </c>
      <c r="D247" s="1">
        <v>0</v>
      </c>
      <c r="E247" s="17">
        <f>N("PAY-LM")+IF(WEEKDAY(A247)=Budget!$C$3,Budget!$B$3,0)</f>
        <v>0</v>
      </c>
      <c r="F247" s="17">
        <f>N("Rent")-IF(DAY(A247)=Budget!$G$3,Budget!$F$3,0)</f>
        <v>0</v>
      </c>
      <c r="G247" s="17">
        <f>N("Car")-IF(DAY(A247)=Budget!$G$4,Budget!$F$4+Budget!$H$4,0)</f>
        <v>0</v>
      </c>
      <c r="H247" s="17">
        <f>N("Mom Rent")-IF(DAY(A247)=Budget!$G$5,Budget!$F$5,0)</f>
        <v>0</v>
      </c>
      <c r="I247" s="17">
        <f>N("AT&amp;T")-IF(DAY(A247)=Budget!$G$8,Budget!$F$8,0)</f>
        <v>0</v>
      </c>
      <c r="J247" s="17">
        <f>N("GA Power")-IF(DAY(A247)=Budget!$G$9,Budget!$F$9,0)</f>
        <v>0</v>
      </c>
      <c r="K247" s="17">
        <f>N("Haircut")-IF(DAY(A247)=Budget!$G$10,Budget!$F$10,0)</f>
        <v>0</v>
      </c>
      <c r="L247" s="17">
        <f>N("Groceries")-IF(DAY(A247)=Budget!$G$6,Budget!$F$6,0)</f>
        <v>0</v>
      </c>
      <c r="M247" s="17">
        <f>N("Savings")-IF(DAY(A247)=Budget!$G$7,Budget!$F$7,0)</f>
        <v>0</v>
      </c>
      <c r="N247" s="17">
        <f>N("Car Insurance")-COUNTIF(Budget!$G$14, A247)*Budget!$F$14</f>
        <v>0</v>
      </c>
      <c r="O247" s="17">
        <f>N("Phone Bill")-COUNTIF(Budget!$G$15, A247)*Budget!$F$15</f>
        <v>0</v>
      </c>
      <c r="Q247" s="17">
        <f>N("Spotify")-IF(AND(DAY($A247)=Budget!$M$3, MONTH($A247)=Budget!$L$3),Budget!$K$3,0)</f>
        <v>0</v>
      </c>
      <c r="R247" s="17">
        <f>N("Spotify")-IF(AND(DAY($A247)=Budget!$M$4, MONTH($A247)=Budget!$L$4),Budget!$K$4,0)</f>
        <v>0</v>
      </c>
      <c r="S247" s="17">
        <f>N("Spotify")-IF(AND(DAY($A247)=Budget!$M$5, MONTH($A247)=Budget!$L$5),Budget!$K$5,0)</f>
        <v>0</v>
      </c>
      <c r="T247" s="17">
        <f>N("Amazon Prime")-IF(DAY(A247)=Budget!$Q$3,Budget!$P$3,0)</f>
        <v>0</v>
      </c>
      <c r="U247" s="17">
        <f>N("Audible")-IF(DAY(A247)=Budget!$Q$12,Budget!$P$12,0)</f>
        <v>0</v>
      </c>
      <c r="V247" s="17">
        <f>N("Crunchyroll")-IF(DAY(A247)=Budget!$Q$5,Budget!$P$5,0)</f>
        <v>0</v>
      </c>
      <c r="W247" s="17">
        <f>N("HBO Max")-IF(DAY(A247)=Budget!$Q$6,Budget!$P$6,0)</f>
        <v>0</v>
      </c>
      <c r="X247" s="17">
        <f>N("Netflix")-IF(DAY(A247)=Budget!$Q$7,Budget!$P$7,0)</f>
        <v>0</v>
      </c>
      <c r="Y247" s="17">
        <f>N("Spotify")-IF(DAY(A247)=Budget!$Q$8,Budget!$P$8,0)</f>
        <v>0</v>
      </c>
      <c r="Z247" s="17">
        <f>N("Truebill")-IF(DAY(A247)=Budget!$Q$9,Budget!$P$9,0)</f>
        <v>0</v>
      </c>
      <c r="AA247" s="6">
        <f t="shared" si="28"/>
        <v>0</v>
      </c>
    </row>
    <row r="248" spans="1:29" x14ac:dyDescent="0.3">
      <c r="A248" s="4">
        <f t="shared" si="30"/>
        <v>45876</v>
      </c>
      <c r="B248" s="2">
        <f t="shared" si="29"/>
        <v>2368.2400000000007</v>
      </c>
      <c r="C248" s="7">
        <f t="shared" si="31"/>
        <v>1</v>
      </c>
      <c r="D248" s="1">
        <v>0</v>
      </c>
      <c r="E248" s="17">
        <f>N("PAY-LM")+IF(WEEKDAY(A248)=Budget!$C$3,Budget!$B$3,0)</f>
        <v>0</v>
      </c>
      <c r="F248" s="17">
        <f>N("Rent")-IF(DAY(A248)=Budget!$G$3,Budget!$F$3,0)</f>
        <v>0</v>
      </c>
      <c r="G248" s="17">
        <f>N("Car")-IF(DAY(A248)=Budget!$G$4,Budget!$F$4+Budget!$H$4,0)</f>
        <v>0</v>
      </c>
      <c r="H248" s="17">
        <f>N("Mom Rent")-IF(DAY(A248)=Budget!$G$5,Budget!$F$5,0)</f>
        <v>0</v>
      </c>
      <c r="I248" s="17">
        <f>N("AT&amp;T")-IF(DAY(A248)=Budget!$G$8,Budget!$F$8,0)</f>
        <v>0</v>
      </c>
      <c r="J248" s="17">
        <f>N("GA Power")-IF(DAY(A248)=Budget!$G$9,Budget!$F$9,0)</f>
        <v>0</v>
      </c>
      <c r="K248" s="17">
        <f>N("Haircut")-IF(DAY(A248)=Budget!$G$10,Budget!$F$10,0)</f>
        <v>0</v>
      </c>
      <c r="L248" s="17">
        <f>N("Groceries")-IF(DAY(A248)=Budget!$G$6,Budget!$F$6,0)</f>
        <v>0</v>
      </c>
      <c r="M248" s="17">
        <f>N("Savings")-IF(DAY(A248)=Budget!$G$7,Budget!$F$7,0)</f>
        <v>0</v>
      </c>
      <c r="N248" s="17">
        <f>N("Car Insurance")-COUNTIF(Budget!$G$14, A248)*Budget!$F$14</f>
        <v>0</v>
      </c>
      <c r="O248" s="17">
        <f>N("Phone Bill")-COUNTIF(Budget!$G$15, A248)*Budget!$F$15</f>
        <v>0</v>
      </c>
      <c r="Q248" s="17">
        <f>N("Spotify")-IF(AND(DAY($A248)=Budget!$M$3, MONTH($A248)=Budget!$L$3),Budget!$K$3,0)</f>
        <v>0</v>
      </c>
      <c r="R248" s="17">
        <f>N("Spotify")-IF(AND(DAY($A248)=Budget!$M$4, MONTH($A248)=Budget!$L$4),Budget!$K$4,0)</f>
        <v>0</v>
      </c>
      <c r="S248" s="17">
        <f>N("Spotify")-IF(AND(DAY($A248)=Budget!$M$5, MONTH($A248)=Budget!$L$5),Budget!$K$5,0)</f>
        <v>0</v>
      </c>
      <c r="T248" s="17">
        <f>N("Amazon Prime")-IF(DAY(A248)=Budget!$Q$3,Budget!$P$3,0)</f>
        <v>0</v>
      </c>
      <c r="U248" s="17">
        <f>N("Audible")-IF(DAY(A248)=Budget!$Q$12,Budget!$P$12,0)</f>
        <v>0</v>
      </c>
      <c r="V248" s="17">
        <f>N("Crunchyroll")-IF(DAY(A248)=Budget!$Q$5,Budget!$P$5,0)</f>
        <v>0</v>
      </c>
      <c r="W248" s="17">
        <f>N("HBO Max")-IF(DAY(A248)=Budget!$Q$6,Budget!$P$6,0)</f>
        <v>0</v>
      </c>
      <c r="X248" s="17">
        <f>N("Netflix")-IF(DAY(A248)=Budget!$Q$7,Budget!$P$7,0)</f>
        <v>0</v>
      </c>
      <c r="Y248" s="17">
        <f>N("Spotify")-IF(DAY(A248)=Budget!$Q$8,Budget!$P$8,0)</f>
        <v>0</v>
      </c>
      <c r="Z248" s="17">
        <f>N("Truebill")-IF(DAY(A248)=Budget!$Q$9,Budget!$P$9,0)</f>
        <v>0</v>
      </c>
      <c r="AA248" s="6">
        <f t="shared" si="28"/>
        <v>0</v>
      </c>
    </row>
    <row r="249" spans="1:29" x14ac:dyDescent="0.3">
      <c r="A249" s="4">
        <f t="shared" si="30"/>
        <v>45877</v>
      </c>
      <c r="B249" s="2">
        <f t="shared" si="29"/>
        <v>3801.7700000000004</v>
      </c>
      <c r="C249" s="7">
        <f t="shared" si="31"/>
        <v>2</v>
      </c>
      <c r="D249" s="1">
        <v>0</v>
      </c>
      <c r="E249" s="17">
        <f>N("PAY-LM")+IF(WEEKDAY(A249)=Budget!$C$3,Budget!$B$3,0)</f>
        <v>1453</v>
      </c>
      <c r="F249" s="17">
        <f>N("Rent")-IF(DAY(A249)=Budget!$G$3,Budget!$F$3,0)</f>
        <v>0</v>
      </c>
      <c r="G249" s="17">
        <f>N("Car")-IF(DAY(A249)=Budget!$G$4,Budget!$F$4+Budget!$H$4,0)</f>
        <v>0</v>
      </c>
      <c r="H249" s="17">
        <f>N("Mom Rent")-IF(DAY(A249)=Budget!$G$5,Budget!$F$5,0)</f>
        <v>0</v>
      </c>
      <c r="I249" s="17">
        <f>N("AT&amp;T")-IF(DAY(A249)=Budget!$G$8,Budget!$F$8,0)</f>
        <v>0</v>
      </c>
      <c r="J249" s="17">
        <f>N("GA Power")-IF(DAY(A249)=Budget!$G$9,Budget!$F$9,0)</f>
        <v>0</v>
      </c>
      <c r="K249" s="17">
        <f>N("Haircut")-IF(DAY(A249)=Budget!$G$10,Budget!$F$10,0)</f>
        <v>0</v>
      </c>
      <c r="L249" s="17">
        <f>N("Groceries")-IF(DAY(A249)=Budget!$G$6,Budget!$F$6,0)</f>
        <v>0</v>
      </c>
      <c r="M249" s="17">
        <f>N("Savings")-IF(DAY(A249)=Budget!$G$7,Budget!$F$7,0)</f>
        <v>0</v>
      </c>
      <c r="N249" s="17">
        <f>N("Car Insurance")-COUNTIF(Budget!$G$14, A249)*Budget!$F$14</f>
        <v>0</v>
      </c>
      <c r="O249" s="17">
        <f>N("Phone Bill")-COUNTIF(Budget!$G$15, A249)*Budget!$F$15</f>
        <v>0</v>
      </c>
      <c r="Q249" s="17">
        <f>N("Spotify")-IF(AND(DAY($A249)=Budget!$M$3, MONTH($A249)=Budget!$L$3),Budget!$K$3,0)</f>
        <v>0</v>
      </c>
      <c r="R249" s="17">
        <f>N("Spotify")-IF(AND(DAY($A249)=Budget!$M$4, MONTH($A249)=Budget!$L$4),Budget!$K$4,0)</f>
        <v>0</v>
      </c>
      <c r="S249" s="17">
        <f>N("Spotify")-IF(AND(DAY($A249)=Budget!$M$5, MONTH($A249)=Budget!$L$5),Budget!$K$5,0)</f>
        <v>0</v>
      </c>
      <c r="T249" s="17">
        <f>N("Amazon Prime")-IF(DAY(A249)=Budget!$Q$3,Budget!$P$3,0)</f>
        <v>-7.48</v>
      </c>
      <c r="U249" s="17">
        <f>N("Audible")-IF(DAY(A249)=Budget!$Q$12,Budget!$P$12,0)</f>
        <v>0</v>
      </c>
      <c r="V249" s="17">
        <f>N("Crunchyroll")-IF(DAY(A249)=Budget!$Q$5,Budget!$P$5,0)</f>
        <v>0</v>
      </c>
      <c r="W249" s="17">
        <f>N("HBO Max")-IF(DAY(A249)=Budget!$Q$6,Budget!$P$6,0)</f>
        <v>-11.99</v>
      </c>
      <c r="X249" s="17">
        <f>N("Netflix")-IF(DAY(A249)=Budget!$Q$7,Budget!$P$7,0)</f>
        <v>0</v>
      </c>
      <c r="Y249" s="17">
        <f>N("Spotify")-IF(DAY(A249)=Budget!$Q$8,Budget!$P$8,0)</f>
        <v>0</v>
      </c>
      <c r="Z249" s="17">
        <f>N("Truebill")-IF(DAY(A249)=Budget!$Q$9,Budget!$P$9,0)</f>
        <v>0</v>
      </c>
      <c r="AA249" s="6">
        <f t="shared" si="28"/>
        <v>1433.53</v>
      </c>
    </row>
    <row r="250" spans="1:29" x14ac:dyDescent="0.3">
      <c r="A250" s="4">
        <f t="shared" si="30"/>
        <v>45878</v>
      </c>
      <c r="B250" s="2">
        <f t="shared" si="29"/>
        <v>3801.7700000000004</v>
      </c>
      <c r="C250" s="7">
        <f t="shared" si="31"/>
        <v>1</v>
      </c>
      <c r="D250" s="1">
        <v>0</v>
      </c>
      <c r="E250" s="17">
        <f>N("PAY-LM")+IF(WEEKDAY(A250)=Budget!$C$3,Budget!$B$3,0)</f>
        <v>0</v>
      </c>
      <c r="F250" s="17">
        <f>N("Rent")-IF(DAY(A250)=Budget!$G$3,Budget!$F$3,0)</f>
        <v>0</v>
      </c>
      <c r="G250" s="17">
        <f>N("Car")-IF(DAY(A250)=Budget!$G$4,Budget!$F$4+Budget!$H$4,0)</f>
        <v>0</v>
      </c>
      <c r="H250" s="17">
        <f>N("Mom Rent")-IF(DAY(A250)=Budget!$G$5,Budget!$F$5,0)</f>
        <v>0</v>
      </c>
      <c r="I250" s="17">
        <f>N("AT&amp;T")-IF(DAY(A250)=Budget!$G$8,Budget!$F$8,0)</f>
        <v>0</v>
      </c>
      <c r="J250" s="17">
        <f>N("GA Power")-IF(DAY(A250)=Budget!$G$9,Budget!$F$9,0)</f>
        <v>0</v>
      </c>
      <c r="K250" s="17">
        <f>N("Haircut")-IF(DAY(A250)=Budget!$G$10,Budget!$F$10,0)</f>
        <v>0</v>
      </c>
      <c r="L250" s="17">
        <f>N("Groceries")-IF(DAY(A250)=Budget!$G$6,Budget!$F$6,0)</f>
        <v>0</v>
      </c>
      <c r="M250" s="17">
        <f>N("Savings")-IF(DAY(A250)=Budget!$G$7,Budget!$F$7,0)</f>
        <v>0</v>
      </c>
      <c r="N250" s="17">
        <f>N("Car Insurance")-COUNTIF(Budget!$G$14, A250)*Budget!$F$14</f>
        <v>0</v>
      </c>
      <c r="O250" s="17">
        <f>N("Phone Bill")-COUNTIF(Budget!$G$15, A250)*Budget!$F$15</f>
        <v>0</v>
      </c>
      <c r="Q250" s="17">
        <f>N("Spotify")-IF(AND(DAY($A250)=Budget!$M$3, MONTH($A250)=Budget!$L$3),Budget!$K$3,0)</f>
        <v>0</v>
      </c>
      <c r="R250" s="17">
        <f>N("Spotify")-IF(AND(DAY($A250)=Budget!$M$4, MONTH($A250)=Budget!$L$4),Budget!$K$4,0)</f>
        <v>0</v>
      </c>
      <c r="S250" s="17">
        <f>N("Spotify")-IF(AND(DAY($A250)=Budget!$M$5, MONTH($A250)=Budget!$L$5),Budget!$K$5,0)</f>
        <v>0</v>
      </c>
      <c r="T250" s="17">
        <f>N("Amazon Prime")-IF(DAY(A250)=Budget!$Q$3,Budget!$P$3,0)</f>
        <v>0</v>
      </c>
      <c r="U250" s="17">
        <f>N("Audible")-IF(DAY(A250)=Budget!$Q$12,Budget!$P$12,0)</f>
        <v>0</v>
      </c>
      <c r="V250" s="17">
        <f>N("Crunchyroll")-IF(DAY(A250)=Budget!$Q$5,Budget!$P$5,0)</f>
        <v>0</v>
      </c>
      <c r="W250" s="17">
        <f>N("HBO Max")-IF(DAY(A250)=Budget!$Q$6,Budget!$P$6,0)</f>
        <v>0</v>
      </c>
      <c r="X250" s="17">
        <f>N("Netflix")-IF(DAY(A250)=Budget!$Q$7,Budget!$P$7,0)</f>
        <v>0</v>
      </c>
      <c r="Y250" s="17">
        <f>N("Spotify")-IF(DAY(A250)=Budget!$Q$8,Budget!$P$8,0)</f>
        <v>0</v>
      </c>
      <c r="Z250" s="17">
        <f>N("Truebill")-IF(DAY(A250)=Budget!$Q$9,Budget!$P$9,0)</f>
        <v>0</v>
      </c>
      <c r="AA250" s="6">
        <f t="shared" si="28"/>
        <v>0</v>
      </c>
    </row>
    <row r="251" spans="1:29" x14ac:dyDescent="0.3">
      <c r="A251" s="4">
        <f t="shared" si="30"/>
        <v>45879</v>
      </c>
      <c r="B251" s="2">
        <f t="shared" si="29"/>
        <v>3801.7700000000004</v>
      </c>
      <c r="C251" s="7">
        <f t="shared" si="31"/>
        <v>1</v>
      </c>
      <c r="D251" s="1">
        <v>0</v>
      </c>
      <c r="E251" s="17">
        <f>N("PAY-LM")+IF(WEEKDAY(A251)=Budget!$C$3,Budget!$B$3,0)</f>
        <v>0</v>
      </c>
      <c r="F251" s="17">
        <f>N("Rent")-IF(DAY(A251)=Budget!$G$3,Budget!$F$3,0)</f>
        <v>0</v>
      </c>
      <c r="G251" s="17">
        <f>N("Car")-IF(DAY(A251)=Budget!$G$4,Budget!$F$4+Budget!$H$4,0)</f>
        <v>0</v>
      </c>
      <c r="H251" s="17">
        <f>N("Mom Rent")-IF(DAY(A251)=Budget!$G$5,Budget!$F$5,0)</f>
        <v>0</v>
      </c>
      <c r="I251" s="17">
        <f>N("AT&amp;T")-IF(DAY(A251)=Budget!$G$8,Budget!$F$8,0)</f>
        <v>0</v>
      </c>
      <c r="J251" s="17">
        <f>N("GA Power")-IF(DAY(A251)=Budget!$G$9,Budget!$F$9,0)</f>
        <v>0</v>
      </c>
      <c r="K251" s="17">
        <f>N("Haircut")-IF(DAY(A251)=Budget!$G$10,Budget!$F$10,0)</f>
        <v>0</v>
      </c>
      <c r="L251" s="17">
        <f>N("Groceries")-IF(DAY(A251)=Budget!$G$6,Budget!$F$6,0)</f>
        <v>0</v>
      </c>
      <c r="M251" s="17">
        <f>N("Savings")-IF(DAY(A251)=Budget!$G$7,Budget!$F$7,0)</f>
        <v>0</v>
      </c>
      <c r="N251" s="17">
        <f>N("Car Insurance")-COUNTIF(Budget!$G$14, A251)*Budget!$F$14</f>
        <v>0</v>
      </c>
      <c r="O251" s="17">
        <f>N("Phone Bill")-COUNTIF(Budget!$G$15, A251)*Budget!$F$15</f>
        <v>0</v>
      </c>
      <c r="Q251" s="17">
        <f>N("Spotify")-IF(AND(DAY($A251)=Budget!$M$3, MONTH($A251)=Budget!$L$3),Budget!$K$3,0)</f>
        <v>0</v>
      </c>
      <c r="R251" s="17">
        <f>N("Spotify")-IF(AND(DAY($A251)=Budget!$M$4, MONTH($A251)=Budget!$L$4),Budget!$K$4,0)</f>
        <v>0</v>
      </c>
      <c r="S251" s="17">
        <f>N("Spotify")-IF(AND(DAY($A251)=Budget!$M$5, MONTH($A251)=Budget!$L$5),Budget!$K$5,0)</f>
        <v>0</v>
      </c>
      <c r="T251" s="17">
        <f>N("Amazon Prime")-IF(DAY(A251)=Budget!$Q$3,Budget!$P$3,0)</f>
        <v>0</v>
      </c>
      <c r="U251" s="17">
        <f>N("Audible")-IF(DAY(A251)=Budget!$Q$12,Budget!$P$12,0)</f>
        <v>0</v>
      </c>
      <c r="V251" s="17">
        <f>N("Crunchyroll")-IF(DAY(A251)=Budget!$Q$5,Budget!$P$5,0)</f>
        <v>0</v>
      </c>
      <c r="W251" s="17">
        <f>N("HBO Max")-IF(DAY(A251)=Budget!$Q$6,Budget!$P$6,0)</f>
        <v>0</v>
      </c>
      <c r="X251" s="17">
        <f>N("Netflix")-IF(DAY(A251)=Budget!$Q$7,Budget!$P$7,0)</f>
        <v>0</v>
      </c>
      <c r="Y251" s="17">
        <f>N("Spotify")-IF(DAY(A251)=Budget!$Q$8,Budget!$P$8,0)</f>
        <v>0</v>
      </c>
      <c r="Z251" s="17">
        <f>N("Truebill")-IF(DAY(A251)=Budget!$Q$9,Budget!$P$9,0)</f>
        <v>0</v>
      </c>
      <c r="AA251" s="6">
        <f t="shared" si="28"/>
        <v>0</v>
      </c>
    </row>
    <row r="252" spans="1:29" x14ac:dyDescent="0.3">
      <c r="A252" s="4">
        <f t="shared" si="30"/>
        <v>45880</v>
      </c>
      <c r="B252" s="2">
        <f t="shared" si="29"/>
        <v>3801.7700000000004</v>
      </c>
      <c r="C252" s="7">
        <f t="shared" si="31"/>
        <v>1</v>
      </c>
      <c r="D252" s="1">
        <v>0</v>
      </c>
      <c r="E252" s="17">
        <f>N("PAY-LM")+IF(WEEKDAY(A252)=Budget!$C$3,Budget!$B$3,0)</f>
        <v>0</v>
      </c>
      <c r="F252" s="17">
        <f>N("Rent")-IF(DAY(A252)=Budget!$G$3,Budget!$F$3,0)</f>
        <v>0</v>
      </c>
      <c r="G252" s="17">
        <f>N("Car")-IF(DAY(A252)=Budget!$G$4,Budget!$F$4+Budget!$H$4,0)</f>
        <v>0</v>
      </c>
      <c r="H252" s="17">
        <f>N("Mom Rent")-IF(DAY(A252)=Budget!$G$5,Budget!$F$5,0)</f>
        <v>0</v>
      </c>
      <c r="I252" s="17">
        <f>N("AT&amp;T")-IF(DAY(A252)=Budget!$G$8,Budget!$F$8,0)</f>
        <v>0</v>
      </c>
      <c r="J252" s="17">
        <f>N("GA Power")-IF(DAY(A252)=Budget!$G$9,Budget!$F$9,0)</f>
        <v>0</v>
      </c>
      <c r="K252" s="17">
        <f>N("Haircut")-IF(DAY(A252)=Budget!$G$10,Budget!$F$10,0)</f>
        <v>0</v>
      </c>
      <c r="L252" s="17">
        <f>N("Groceries")-IF(DAY(A252)=Budget!$G$6,Budget!$F$6,0)</f>
        <v>0</v>
      </c>
      <c r="M252" s="17">
        <f>N("Savings")-IF(DAY(A252)=Budget!$G$7,Budget!$F$7,0)</f>
        <v>0</v>
      </c>
      <c r="N252" s="17">
        <f>N("Car Insurance")-COUNTIF(Budget!$G$14, A252)*Budget!$F$14</f>
        <v>0</v>
      </c>
      <c r="O252" s="17">
        <f>N("Phone Bill")-COUNTIF(Budget!$G$15, A252)*Budget!$F$15</f>
        <v>0</v>
      </c>
      <c r="Q252" s="17">
        <f>N("Spotify")-IF(AND(DAY($A252)=Budget!$M$3, MONTH($A252)=Budget!$L$3),Budget!$K$3,0)</f>
        <v>0</v>
      </c>
      <c r="R252" s="17">
        <f>N("Spotify")-IF(AND(DAY($A252)=Budget!$M$4, MONTH($A252)=Budget!$L$4),Budget!$K$4,0)</f>
        <v>0</v>
      </c>
      <c r="S252" s="17">
        <f>N("Spotify")-IF(AND(DAY($A252)=Budget!$M$5, MONTH($A252)=Budget!$L$5),Budget!$K$5,0)</f>
        <v>0</v>
      </c>
      <c r="T252" s="17">
        <f>N("Amazon Prime")-IF(DAY(A252)=Budget!$Q$3,Budget!$P$3,0)</f>
        <v>0</v>
      </c>
      <c r="U252" s="17">
        <f>N("Audible")-IF(DAY(A252)=Budget!$Q$12,Budget!$P$12,0)</f>
        <v>0</v>
      </c>
      <c r="V252" s="17">
        <f>N("Crunchyroll")-IF(DAY(A252)=Budget!$Q$5,Budget!$P$5,0)</f>
        <v>0</v>
      </c>
      <c r="W252" s="17">
        <f>N("HBO Max")-IF(DAY(A252)=Budget!$Q$6,Budget!$P$6,0)</f>
        <v>0</v>
      </c>
      <c r="X252" s="17">
        <f>N("Netflix")-IF(DAY(A252)=Budget!$Q$7,Budget!$P$7,0)</f>
        <v>0</v>
      </c>
      <c r="Y252" s="17">
        <f>N("Spotify")-IF(DAY(A252)=Budget!$Q$8,Budget!$P$8,0)</f>
        <v>0</v>
      </c>
      <c r="Z252" s="17">
        <f>N("Truebill")-IF(DAY(A252)=Budget!$Q$9,Budget!$P$9,0)</f>
        <v>0</v>
      </c>
      <c r="AA252" s="6">
        <f t="shared" si="28"/>
        <v>0</v>
      </c>
    </row>
    <row r="253" spans="1:29" x14ac:dyDescent="0.3">
      <c r="A253" s="4">
        <f t="shared" si="30"/>
        <v>45881</v>
      </c>
      <c r="B253" s="2">
        <f t="shared" si="29"/>
        <v>3795.7700000000004</v>
      </c>
      <c r="C253" s="7">
        <f t="shared" si="31"/>
        <v>0</v>
      </c>
      <c r="D253" s="1">
        <v>0</v>
      </c>
      <c r="E253" s="17">
        <f>N("PAY-LM")+IF(WEEKDAY(A253)=Budget!$C$3,Budget!$B$3,0)</f>
        <v>0</v>
      </c>
      <c r="F253" s="17">
        <f>N("Rent")-IF(DAY(A253)=Budget!$G$3,Budget!$F$3,0)</f>
        <v>0</v>
      </c>
      <c r="G253" s="17">
        <f>N("Car")-IF(DAY(A253)=Budget!$G$4,Budget!$F$4+Budget!$H$4,0)</f>
        <v>0</v>
      </c>
      <c r="H253" s="17">
        <f>N("Mom Rent")-IF(DAY(A253)=Budget!$G$5,Budget!$F$5,0)</f>
        <v>0</v>
      </c>
      <c r="I253" s="17">
        <f>N("AT&amp;T")-IF(DAY(A253)=Budget!$G$8,Budget!$F$8,0)</f>
        <v>0</v>
      </c>
      <c r="J253" s="17">
        <f>N("GA Power")-IF(DAY(A253)=Budget!$G$9,Budget!$F$9,0)</f>
        <v>0</v>
      </c>
      <c r="K253" s="17">
        <f>N("Haircut")-IF(DAY(A253)=Budget!$G$10,Budget!$F$10,0)</f>
        <v>0</v>
      </c>
      <c r="L253" s="17">
        <f>N("Groceries")-IF(DAY(A253)=Budget!$G$6,Budget!$F$6,0)</f>
        <v>0</v>
      </c>
      <c r="M253" s="17">
        <f>N("Savings")-IF(DAY(A253)=Budget!$G$7,Budget!$F$7,0)</f>
        <v>0</v>
      </c>
      <c r="N253" s="17">
        <f>N("Car Insurance")-COUNTIF(Budget!$G$14, A253)*Budget!$F$14</f>
        <v>0</v>
      </c>
      <c r="O253" s="17">
        <f>N("Phone Bill")-COUNTIF(Budget!$G$15, A253)*Budget!$F$15</f>
        <v>0</v>
      </c>
      <c r="Q253" s="17">
        <f>N("Spotify")-IF(AND(DAY($A253)=Budget!$M$3, MONTH($A253)=Budget!$L$3),Budget!$K$3,0)</f>
        <v>0</v>
      </c>
      <c r="R253" s="17">
        <f>N("Spotify")-IF(AND(DAY($A253)=Budget!$M$4, MONTH($A253)=Budget!$L$4),Budget!$K$4,0)</f>
        <v>0</v>
      </c>
      <c r="S253" s="17">
        <f>N("Spotify")-IF(AND(DAY($A253)=Budget!$M$5, MONTH($A253)=Budget!$L$5),Budget!$K$5,0)</f>
        <v>0</v>
      </c>
      <c r="T253" s="17">
        <f>N("Amazon Prime")-IF(DAY(A253)=Budget!$Q$3,Budget!$P$3,0)</f>
        <v>0</v>
      </c>
      <c r="U253" s="17">
        <f>N("Audible")-IF(DAY(A253)=Budget!$Q$12,Budget!$P$12,0)</f>
        <v>0</v>
      </c>
      <c r="V253" s="17">
        <f>N("Crunchyroll")-IF(DAY(A253)=Budget!$Q$5,Budget!$P$5,0)</f>
        <v>0</v>
      </c>
      <c r="W253" s="17">
        <f>N("HBO Max")-IF(DAY(A253)=Budget!$Q$6,Budget!$P$6,0)</f>
        <v>0</v>
      </c>
      <c r="X253" s="17">
        <f>N("Netflix")-IF(DAY(A253)=Budget!$Q$7,Budget!$P$7,0)</f>
        <v>-6</v>
      </c>
      <c r="Y253" s="17">
        <f>N("Spotify")-IF(DAY(A253)=Budget!$Q$8,Budget!$P$8,0)</f>
        <v>0</v>
      </c>
      <c r="Z253" s="17">
        <f>N("Truebill")-IF(DAY(A253)=Budget!$Q$9,Budget!$P$9,0)</f>
        <v>0</v>
      </c>
      <c r="AA253" s="6">
        <f t="shared" si="28"/>
        <v>-6</v>
      </c>
    </row>
    <row r="254" spans="1:29" x14ac:dyDescent="0.3">
      <c r="A254" s="4">
        <f t="shared" si="30"/>
        <v>45882</v>
      </c>
      <c r="B254" s="2">
        <f t="shared" si="29"/>
        <v>3795.7700000000004</v>
      </c>
      <c r="C254" s="7">
        <f t="shared" si="31"/>
        <v>1</v>
      </c>
      <c r="D254" s="1">
        <v>0</v>
      </c>
      <c r="E254" s="17">
        <f>N("PAY-LM")+IF(WEEKDAY(A254)=Budget!$C$3,Budget!$B$3,0)</f>
        <v>0</v>
      </c>
      <c r="F254" s="17">
        <f>N("Rent")-IF(DAY(A254)=Budget!$G$3,Budget!$F$3,0)</f>
        <v>0</v>
      </c>
      <c r="G254" s="17">
        <f>N("Car")-IF(DAY(A254)=Budget!$G$4,Budget!$F$4+Budget!$H$4,0)</f>
        <v>0</v>
      </c>
      <c r="H254" s="17">
        <f>N("Mom Rent")-IF(DAY(A254)=Budget!$G$5,Budget!$F$5,0)</f>
        <v>0</v>
      </c>
      <c r="I254" s="17">
        <f>N("AT&amp;T")-IF(DAY(A254)=Budget!$G$8,Budget!$F$8,0)</f>
        <v>0</v>
      </c>
      <c r="J254" s="17">
        <f>N("GA Power")-IF(DAY(A254)=Budget!$G$9,Budget!$F$9,0)</f>
        <v>0</v>
      </c>
      <c r="K254" s="17">
        <f>N("Haircut")-IF(DAY(A254)=Budget!$G$10,Budget!$F$10,0)</f>
        <v>0</v>
      </c>
      <c r="L254" s="17">
        <f>N("Groceries")-IF(DAY(A254)=Budget!$G$6,Budget!$F$6,0)</f>
        <v>0</v>
      </c>
      <c r="M254" s="17">
        <f>N("Savings")-IF(DAY(A254)=Budget!$G$7,Budget!$F$7,0)</f>
        <v>0</v>
      </c>
      <c r="N254" s="17">
        <f>N("Car Insurance")-COUNTIF(Budget!$G$14, A254)*Budget!$F$14</f>
        <v>0</v>
      </c>
      <c r="O254" s="17">
        <f>N("Phone Bill")-COUNTIF(Budget!$G$15, A254)*Budget!$F$15</f>
        <v>0</v>
      </c>
      <c r="Q254" s="17">
        <f>N("Spotify")-IF(AND(DAY($A254)=Budget!$M$3, MONTH($A254)=Budget!$L$3),Budget!$K$3,0)</f>
        <v>0</v>
      </c>
      <c r="R254" s="17">
        <f>N("Spotify")-IF(AND(DAY($A254)=Budget!$M$4, MONTH($A254)=Budget!$L$4),Budget!$K$4,0)</f>
        <v>0</v>
      </c>
      <c r="S254" s="17">
        <f>N("Spotify")-IF(AND(DAY($A254)=Budget!$M$5, MONTH($A254)=Budget!$L$5),Budget!$K$5,0)</f>
        <v>0</v>
      </c>
      <c r="T254" s="17">
        <f>N("Amazon Prime")-IF(DAY(A254)=Budget!$Q$3,Budget!$P$3,0)</f>
        <v>0</v>
      </c>
      <c r="U254" s="17">
        <f>N("Audible")-IF(DAY(A254)=Budget!$Q$12,Budget!$P$12,0)</f>
        <v>0</v>
      </c>
      <c r="V254" s="17">
        <f>N("Crunchyroll")-IF(DAY(A254)=Budget!$Q$5,Budget!$P$5,0)</f>
        <v>0</v>
      </c>
      <c r="W254" s="17">
        <f>N("HBO Max")-IF(DAY(A254)=Budget!$Q$6,Budget!$P$6,0)</f>
        <v>0</v>
      </c>
      <c r="X254" s="17">
        <f>N("Netflix")-IF(DAY(A254)=Budget!$Q$7,Budget!$P$7,0)</f>
        <v>0</v>
      </c>
      <c r="Y254" s="17">
        <f>N("Spotify")-IF(DAY(A254)=Budget!$Q$8,Budget!$P$8,0)</f>
        <v>0</v>
      </c>
      <c r="Z254" s="17">
        <f>N("Truebill")-IF(DAY(A254)=Budget!$Q$9,Budget!$P$9,0)</f>
        <v>0</v>
      </c>
      <c r="AA254" s="6">
        <f t="shared" si="28"/>
        <v>0</v>
      </c>
    </row>
    <row r="255" spans="1:29" x14ac:dyDescent="0.3">
      <c r="A255" s="4">
        <f t="shared" si="30"/>
        <v>45883</v>
      </c>
      <c r="B255" s="2">
        <f t="shared" si="29"/>
        <v>3795.7700000000004</v>
      </c>
      <c r="C255" s="7">
        <f t="shared" si="31"/>
        <v>1</v>
      </c>
      <c r="D255" s="1">
        <v>0</v>
      </c>
      <c r="E255" s="17">
        <f>N("PAY-LM")+IF(WEEKDAY(A255)=Budget!$C$3,Budget!$B$3,0)</f>
        <v>0</v>
      </c>
      <c r="F255" s="17">
        <f>N("Rent")-IF(DAY(A255)=Budget!$G$3,Budget!$F$3,0)</f>
        <v>0</v>
      </c>
      <c r="G255" s="17">
        <f>N("Car")-IF(DAY(A255)=Budget!$G$4,Budget!$F$4+Budget!$H$4,0)</f>
        <v>0</v>
      </c>
      <c r="H255" s="17">
        <f>N("Mom Rent")-IF(DAY(A255)=Budget!$G$5,Budget!$F$5,0)</f>
        <v>0</v>
      </c>
      <c r="I255" s="17">
        <f>N("AT&amp;T")-IF(DAY(A255)=Budget!$G$8,Budget!$F$8,0)</f>
        <v>0</v>
      </c>
      <c r="J255" s="17">
        <f>N("GA Power")-IF(DAY(A255)=Budget!$G$9,Budget!$F$9,0)</f>
        <v>0</v>
      </c>
      <c r="K255" s="17">
        <f>N("Haircut")-IF(DAY(A255)=Budget!$G$10,Budget!$F$10,0)</f>
        <v>0</v>
      </c>
      <c r="L255" s="17">
        <f>N("Groceries")-IF(DAY(A255)=Budget!$G$6,Budget!$F$6,0)</f>
        <v>0</v>
      </c>
      <c r="M255" s="17">
        <f>N("Savings")-IF(DAY(A255)=Budget!$G$7,Budget!$F$7,0)</f>
        <v>0</v>
      </c>
      <c r="N255" s="17">
        <f>N("Car Insurance")-COUNTIF(Budget!$G$14, A255)*Budget!$F$14</f>
        <v>0</v>
      </c>
      <c r="O255" s="17">
        <f>N("Phone Bill")-COUNTIF(Budget!$G$15, A255)*Budget!$F$15</f>
        <v>0</v>
      </c>
      <c r="Q255" s="17">
        <f>N("Spotify")-IF(AND(DAY($A255)=Budget!$M$3, MONTH($A255)=Budget!$L$3),Budget!$K$3,0)</f>
        <v>0</v>
      </c>
      <c r="R255" s="17">
        <f>N("Spotify")-IF(AND(DAY($A255)=Budget!$M$4, MONTH($A255)=Budget!$L$4),Budget!$K$4,0)</f>
        <v>0</v>
      </c>
      <c r="S255" s="17">
        <f>N("Spotify")-IF(AND(DAY($A255)=Budget!$M$5, MONTH($A255)=Budget!$L$5),Budget!$K$5,0)</f>
        <v>0</v>
      </c>
      <c r="T255" s="17">
        <f>N("Amazon Prime")-IF(DAY(A255)=Budget!$Q$3,Budget!$P$3,0)</f>
        <v>0</v>
      </c>
      <c r="U255" s="17">
        <f>N("Audible")-IF(DAY(A255)=Budget!$Q$12,Budget!$P$12,0)</f>
        <v>0</v>
      </c>
      <c r="V255" s="17">
        <f>N("Crunchyroll")-IF(DAY(A255)=Budget!$Q$5,Budget!$P$5,0)</f>
        <v>0</v>
      </c>
      <c r="W255" s="17">
        <f>N("HBO Max")-IF(DAY(A255)=Budget!$Q$6,Budget!$P$6,0)</f>
        <v>0</v>
      </c>
      <c r="X255" s="17">
        <f>N("Netflix")-IF(DAY(A255)=Budget!$Q$7,Budget!$P$7,0)</f>
        <v>0</v>
      </c>
      <c r="Y255" s="17">
        <f>N("Spotify")-IF(DAY(A255)=Budget!$Q$8,Budget!$P$8,0)</f>
        <v>0</v>
      </c>
      <c r="Z255" s="17">
        <f>N("Truebill")-IF(DAY(A255)=Budget!$Q$9,Budget!$P$9,0)</f>
        <v>0</v>
      </c>
      <c r="AA255" s="6">
        <f t="shared" si="28"/>
        <v>0</v>
      </c>
    </row>
    <row r="256" spans="1:29" x14ac:dyDescent="0.3">
      <c r="A256" s="4">
        <f t="shared" si="30"/>
        <v>45884</v>
      </c>
      <c r="B256" s="2">
        <v>7586</v>
      </c>
      <c r="C256" s="7">
        <f t="shared" si="31"/>
        <v>2</v>
      </c>
      <c r="D256" s="1">
        <f>2757.42-E256</f>
        <v>1304.42</v>
      </c>
      <c r="E256" s="17">
        <f>N("PAY-LM")+IF(WEEKDAY(A256)=Budget!$C$3,Budget!$B$3,0)</f>
        <v>1453</v>
      </c>
      <c r="F256" s="17">
        <f>N("Rent")-IF(DAY(A256)=Budget!$G$3,Budget!$F$3,0)</f>
        <v>0</v>
      </c>
      <c r="G256" s="17">
        <f>N("Car")-IF(DAY(A256)=Budget!$G$4,Budget!$F$4+Budget!$H$4,0)</f>
        <v>0</v>
      </c>
      <c r="H256" s="17">
        <f>N("Mom Rent")-IF(DAY(A256)=Budget!$G$5,Budget!$F$5,0)</f>
        <v>0</v>
      </c>
      <c r="I256" s="17">
        <f>N("AT&amp;T")-IF(DAY(A256)=Budget!$G$8,Budget!$F$8,0)</f>
        <v>0</v>
      </c>
      <c r="J256" s="17">
        <f>N("GA Power")-IF(DAY(A256)=Budget!$G$9,Budget!$F$9,0)</f>
        <v>0</v>
      </c>
      <c r="K256" s="17">
        <f>N("Haircut")-IF(DAY(A256)=Budget!$G$10,Budget!$F$10,0)</f>
        <v>0</v>
      </c>
      <c r="L256" s="17">
        <f>N("Groceries")-IF(DAY(A256)=Budget!$G$6,Budget!$F$6,0)</f>
        <v>0</v>
      </c>
      <c r="M256" s="17">
        <f>N("Savings")-IF(DAY(A256)=Budget!$G$7,Budget!$F$7,0)</f>
        <v>0</v>
      </c>
      <c r="N256" s="17">
        <f>N("Car Insurance")-COUNTIF(Budget!$G$14, A256)*Budget!$F$14</f>
        <v>0</v>
      </c>
      <c r="O256" s="17">
        <f>N("Phone Bill")-COUNTIF(Budget!$G$15, A256)*Budget!$F$15</f>
        <v>0</v>
      </c>
      <c r="Q256" s="17">
        <f>N("Spotify")-IF(AND(DAY($A256)=Budget!$M$3, MONTH($A256)=Budget!$L$3),Budget!$K$3,0)</f>
        <v>0</v>
      </c>
      <c r="R256" s="17">
        <f>N("Spotify")-IF(AND(DAY($A256)=Budget!$M$4, MONTH($A256)=Budget!$L$4),Budget!$K$4,0)</f>
        <v>0</v>
      </c>
      <c r="S256" s="17">
        <f>N("Spotify")-IF(AND(DAY($A256)=Budget!$M$5, MONTH($A256)=Budget!$L$5),Budget!$K$5,0)</f>
        <v>0</v>
      </c>
      <c r="T256" s="17">
        <f>N("Amazon Prime")-IF(DAY(A256)=Budget!$Q$3,Budget!$P$3,0)</f>
        <v>0</v>
      </c>
      <c r="U256" s="17">
        <f>N("Audible")-IF(DAY(A256)=Budget!$Q$12,Budget!$P$12,0)</f>
        <v>0</v>
      </c>
      <c r="V256" s="17">
        <f>N("Crunchyroll")-IF(DAY(A256)=Budget!$Q$5,Budget!$P$5,0)</f>
        <v>0</v>
      </c>
      <c r="W256" s="17">
        <f>N("HBO Max")-IF(DAY(A256)=Budget!$Q$6,Budget!$P$6,0)</f>
        <v>0</v>
      </c>
      <c r="X256" s="17">
        <f>N("Netflix")-IF(DAY(A256)=Budget!$Q$7,Budget!$P$7,0)</f>
        <v>0</v>
      </c>
      <c r="Y256" s="17">
        <f>N("Spotify")-IF(DAY(A256)=Budget!$Q$8,Budget!$P$8,0)</f>
        <v>0</v>
      </c>
      <c r="Z256" s="17">
        <f>N("Truebill")-IF(DAY(A256)=Budget!$Q$9,Budget!$P$9,0)</f>
        <v>0</v>
      </c>
      <c r="AA256" s="6">
        <f t="shared" si="28"/>
        <v>2757.42</v>
      </c>
    </row>
    <row r="257" spans="1:27" x14ac:dyDescent="0.3">
      <c r="A257" s="4">
        <f t="shared" si="30"/>
        <v>45885</v>
      </c>
      <c r="B257" s="2">
        <f t="shared" si="29"/>
        <v>7586</v>
      </c>
      <c r="C257" s="7">
        <f t="shared" si="31"/>
        <v>1</v>
      </c>
      <c r="D257" s="1">
        <v>0</v>
      </c>
      <c r="E257" s="17">
        <f>N("PAY-LM")+IF(WEEKDAY(A257)=Budget!$C$3,Budget!$B$3,0)</f>
        <v>0</v>
      </c>
      <c r="F257" s="17">
        <f>N("Rent")-IF(DAY(A257)=Budget!$G$3,Budget!$F$3,0)</f>
        <v>0</v>
      </c>
      <c r="G257" s="17">
        <f>N("Car")-IF(DAY(A257)=Budget!$G$4,Budget!$F$4+Budget!$H$4,0)</f>
        <v>0</v>
      </c>
      <c r="H257" s="17">
        <f>N("Mom Rent")-IF(DAY(A257)=Budget!$G$5,Budget!$F$5,0)</f>
        <v>0</v>
      </c>
      <c r="I257" s="17">
        <f>N("AT&amp;T")-IF(DAY(A257)=Budget!$G$8,Budget!$F$8,0)</f>
        <v>0</v>
      </c>
      <c r="J257" s="17">
        <f>N("GA Power")-IF(DAY(A257)=Budget!$G$9,Budget!$F$9,0)</f>
        <v>0</v>
      </c>
      <c r="K257" s="17">
        <f>N("Haircut")-IF(DAY(A257)=Budget!$G$10,Budget!$F$10,0)</f>
        <v>0</v>
      </c>
      <c r="L257" s="17">
        <f>N("Groceries")-IF(DAY(A257)=Budget!$G$6,Budget!$F$6,0)</f>
        <v>0</v>
      </c>
      <c r="M257" s="17">
        <f>N("Savings")-IF(DAY(A257)=Budget!$G$7,Budget!$F$7,0)</f>
        <v>0</v>
      </c>
      <c r="N257" s="17">
        <f>N("Car Insurance")-COUNTIF(Budget!$G$14, A257)*Budget!$F$14</f>
        <v>0</v>
      </c>
      <c r="O257" s="17">
        <f>N("Phone Bill")-COUNTIF(Budget!$G$15, A257)*Budget!$F$15</f>
        <v>0</v>
      </c>
      <c r="Q257" s="17">
        <f>N("Spotify")-IF(AND(DAY($A257)=Budget!$M$3, MONTH($A257)=Budget!$L$3),Budget!$K$3,0)</f>
        <v>0</v>
      </c>
      <c r="R257" s="17">
        <f>N("Spotify")-IF(AND(DAY($A257)=Budget!$M$4, MONTH($A257)=Budget!$L$4),Budget!$K$4,0)</f>
        <v>0</v>
      </c>
      <c r="S257" s="17">
        <f>N("Spotify")-IF(AND(DAY($A257)=Budget!$M$5, MONTH($A257)=Budget!$L$5),Budget!$K$5,0)</f>
        <v>0</v>
      </c>
      <c r="T257" s="17">
        <f>N("Amazon Prime")-IF(DAY(A257)=Budget!$Q$3,Budget!$P$3,0)</f>
        <v>0</v>
      </c>
      <c r="U257" s="17">
        <f>N("Audible")-IF(DAY(A257)=Budget!$Q$12,Budget!$P$12,0)</f>
        <v>0</v>
      </c>
      <c r="V257" s="17">
        <f>N("Crunchyroll")-IF(DAY(A257)=Budget!$Q$5,Budget!$P$5,0)</f>
        <v>0</v>
      </c>
      <c r="W257" s="17">
        <f>N("HBO Max")-IF(DAY(A257)=Budget!$Q$6,Budget!$P$6,0)</f>
        <v>0</v>
      </c>
      <c r="X257" s="17">
        <f>N("Netflix")-IF(DAY(A257)=Budget!$Q$7,Budget!$P$7,0)</f>
        <v>0</v>
      </c>
      <c r="Y257" s="17">
        <f>N("Spotify")-IF(DAY(A257)=Budget!$Q$8,Budget!$P$8,0)</f>
        <v>0</v>
      </c>
      <c r="Z257" s="17">
        <f>N("Truebill")-IF(DAY(A257)=Budget!$Q$9,Budget!$P$9,0)</f>
        <v>0</v>
      </c>
      <c r="AA257" s="6">
        <f t="shared" si="28"/>
        <v>0</v>
      </c>
    </row>
    <row r="258" spans="1:27" x14ac:dyDescent="0.3">
      <c r="A258" s="4">
        <f t="shared" si="30"/>
        <v>45886</v>
      </c>
      <c r="B258" s="2">
        <f t="shared" si="29"/>
        <v>7586</v>
      </c>
      <c r="C258" s="7">
        <f t="shared" si="31"/>
        <v>1</v>
      </c>
      <c r="D258" s="1">
        <v>0</v>
      </c>
      <c r="E258" s="17">
        <f>N("PAY-LM")+IF(WEEKDAY(A258)=Budget!$C$3,Budget!$B$3,0)</f>
        <v>0</v>
      </c>
      <c r="F258" s="17">
        <f>N("Rent")-IF(DAY(A258)=Budget!$G$3,Budget!$F$3,0)</f>
        <v>0</v>
      </c>
      <c r="G258" s="17">
        <f>N("Car")-IF(DAY(A258)=Budget!$G$4,Budget!$F$4+Budget!$H$4,0)</f>
        <v>0</v>
      </c>
      <c r="H258" s="17">
        <f>N("Mom Rent")-IF(DAY(A258)=Budget!$G$5,Budget!$F$5,0)</f>
        <v>0</v>
      </c>
      <c r="I258" s="17">
        <f>N("AT&amp;T")-IF(DAY(A258)=Budget!$G$8,Budget!$F$8,0)</f>
        <v>0</v>
      </c>
      <c r="J258" s="17">
        <f>N("GA Power")-IF(DAY(A258)=Budget!$G$9,Budget!$F$9,0)</f>
        <v>0</v>
      </c>
      <c r="K258" s="17">
        <f>N("Haircut")-IF(DAY(A258)=Budget!$G$10,Budget!$F$10,0)</f>
        <v>0</v>
      </c>
      <c r="L258" s="17">
        <f>N("Groceries")-IF(DAY(A258)=Budget!$G$6,Budget!$F$6,0)</f>
        <v>0</v>
      </c>
      <c r="M258" s="17">
        <f>N("Savings")-IF(DAY(A258)=Budget!$G$7,Budget!$F$7,0)</f>
        <v>0</v>
      </c>
      <c r="N258" s="17">
        <f>N("Car Insurance")-COUNTIF(Budget!$G$14, A258)*Budget!$F$14</f>
        <v>0</v>
      </c>
      <c r="O258" s="17">
        <f>N("Phone Bill")-COUNTIF(Budget!$G$15, A258)*Budget!$F$15</f>
        <v>0</v>
      </c>
      <c r="Q258" s="17">
        <f>N("Spotify")-IF(AND(DAY($A258)=Budget!$M$3, MONTH($A258)=Budget!$L$3),Budget!$K$3,0)</f>
        <v>0</v>
      </c>
      <c r="R258" s="17">
        <f>N("Spotify")-IF(AND(DAY($A258)=Budget!$M$4, MONTH($A258)=Budget!$L$4),Budget!$K$4,0)</f>
        <v>0</v>
      </c>
      <c r="S258" s="17">
        <f>N("Spotify")-IF(AND(DAY($A258)=Budget!$M$5, MONTH($A258)=Budget!$L$5),Budget!$K$5,0)</f>
        <v>0</v>
      </c>
      <c r="T258" s="17">
        <f>N("Amazon Prime")-IF(DAY(A258)=Budget!$Q$3,Budget!$P$3,0)</f>
        <v>0</v>
      </c>
      <c r="U258" s="17">
        <f>N("Audible")-IF(DAY(A258)=Budget!$Q$12,Budget!$P$12,0)</f>
        <v>0</v>
      </c>
      <c r="V258" s="17">
        <f>N("Crunchyroll")-IF(DAY(A258)=Budget!$Q$5,Budget!$P$5,0)</f>
        <v>0</v>
      </c>
      <c r="W258" s="17">
        <f>N("HBO Max")-IF(DAY(A258)=Budget!$Q$6,Budget!$P$6,0)</f>
        <v>0</v>
      </c>
      <c r="X258" s="17">
        <f>N("Netflix")-IF(DAY(A258)=Budget!$Q$7,Budget!$P$7,0)</f>
        <v>0</v>
      </c>
      <c r="Y258" s="17">
        <f>N("Spotify")-IF(DAY(A258)=Budget!$Q$8,Budget!$P$8,0)</f>
        <v>0</v>
      </c>
      <c r="Z258" s="17">
        <f>N("Truebill")-IF(DAY(A258)=Budget!$Q$9,Budget!$P$9,0)</f>
        <v>0</v>
      </c>
      <c r="AA258" s="6">
        <f t="shared" si="28"/>
        <v>0</v>
      </c>
    </row>
    <row r="259" spans="1:27" x14ac:dyDescent="0.3">
      <c r="A259" s="4">
        <f t="shared" si="30"/>
        <v>45887</v>
      </c>
      <c r="B259" s="2">
        <f t="shared" si="29"/>
        <v>7521</v>
      </c>
      <c r="C259" s="7">
        <f t="shared" si="31"/>
        <v>0</v>
      </c>
      <c r="D259" s="1">
        <v>0</v>
      </c>
      <c r="E259" s="17">
        <f>N("PAY-LM")+IF(WEEKDAY(A259)=Budget!$C$3,Budget!$B$3,0)</f>
        <v>0</v>
      </c>
      <c r="F259" s="17">
        <f>N("Rent")-IF(DAY(A259)=Budget!$G$3,Budget!$F$3,0)</f>
        <v>0</v>
      </c>
      <c r="G259" s="17">
        <f>N("Car")-IF(DAY(A259)=Budget!$G$4,Budget!$F$4+Budget!$H$4,0)</f>
        <v>0</v>
      </c>
      <c r="H259" s="17">
        <f>N("Mom Rent")-IF(DAY(A259)=Budget!$G$5,Budget!$F$5,0)</f>
        <v>0</v>
      </c>
      <c r="I259" s="17">
        <f>N("AT&amp;T")-IF(DAY(A259)=Budget!$G$8,Budget!$F$8,0)</f>
        <v>-65</v>
      </c>
      <c r="J259" s="17">
        <f>N("GA Power")-IF(DAY(A259)=Budget!$G$9,Budget!$F$9,0)</f>
        <v>0</v>
      </c>
      <c r="K259" s="17">
        <f>N("Haircut")-IF(DAY(A259)=Budget!$G$10,Budget!$F$10,0)</f>
        <v>0</v>
      </c>
      <c r="L259" s="17">
        <f>N("Groceries")-IF(DAY(A259)=Budget!$G$6,Budget!$F$6,0)</f>
        <v>0</v>
      </c>
      <c r="M259" s="17">
        <f>N("Savings")-IF(DAY(A259)=Budget!$G$7,Budget!$F$7,0)</f>
        <v>0</v>
      </c>
      <c r="N259" s="17">
        <f>N("Car Insurance")-COUNTIF(Budget!$G$14, A259)*Budget!$F$14</f>
        <v>0</v>
      </c>
      <c r="O259" s="17">
        <f>N("Phone Bill")-COUNTIF(Budget!$G$15, A259)*Budget!$F$15</f>
        <v>0</v>
      </c>
      <c r="Q259" s="17">
        <f>N("Spotify")-IF(AND(DAY($A259)=Budget!$M$3, MONTH($A259)=Budget!$L$3),Budget!$K$3,0)</f>
        <v>0</v>
      </c>
      <c r="R259" s="17">
        <f>N("Spotify")-IF(AND(DAY($A259)=Budget!$M$4, MONTH($A259)=Budget!$L$4),Budget!$K$4,0)</f>
        <v>0</v>
      </c>
      <c r="S259" s="17">
        <f>N("Spotify")-IF(AND(DAY($A259)=Budget!$M$5, MONTH($A259)=Budget!$L$5),Budget!$K$5,0)</f>
        <v>0</v>
      </c>
      <c r="T259" s="17">
        <f>N("Amazon Prime")-IF(DAY(A259)=Budget!$Q$3,Budget!$P$3,0)</f>
        <v>0</v>
      </c>
      <c r="U259" s="17">
        <f>N("Audible")-IF(DAY(A259)=Budget!$Q$12,Budget!$P$12,0)</f>
        <v>0</v>
      </c>
      <c r="V259" s="17">
        <f>N("Crunchyroll")-IF(DAY(A259)=Budget!$Q$5,Budget!$P$5,0)</f>
        <v>0</v>
      </c>
      <c r="W259" s="17">
        <f>N("HBO Max")-IF(DAY(A259)=Budget!$Q$6,Budget!$P$6,0)</f>
        <v>0</v>
      </c>
      <c r="X259" s="17">
        <f>N("Netflix")-IF(DAY(A259)=Budget!$Q$7,Budget!$P$7,0)</f>
        <v>0</v>
      </c>
      <c r="Y259" s="17">
        <f>N("Spotify")-IF(DAY(A259)=Budget!$Q$8,Budget!$P$8,0)</f>
        <v>0</v>
      </c>
      <c r="Z259" s="17">
        <f>N("Truebill")-IF(DAY(A259)=Budget!$Q$9,Budget!$P$9,0)</f>
        <v>0</v>
      </c>
      <c r="AA259" s="6">
        <f t="shared" si="28"/>
        <v>-65</v>
      </c>
    </row>
    <row r="260" spans="1:27" x14ac:dyDescent="0.3">
      <c r="A260" s="4">
        <f t="shared" si="30"/>
        <v>45888</v>
      </c>
      <c r="B260" s="2">
        <f t="shared" si="29"/>
        <v>7521</v>
      </c>
      <c r="C260" s="7">
        <f t="shared" si="31"/>
        <v>1</v>
      </c>
      <c r="D260" s="1">
        <v>0</v>
      </c>
      <c r="E260" s="17">
        <f>N("PAY-LM")+IF(WEEKDAY(A260)=Budget!$C$3,Budget!$B$3,0)</f>
        <v>0</v>
      </c>
      <c r="F260" s="17">
        <f>N("Rent")-IF(DAY(A260)=Budget!$G$3,Budget!$F$3,0)</f>
        <v>0</v>
      </c>
      <c r="G260" s="17">
        <f>N("Car")-IF(DAY(A260)=Budget!$G$4,Budget!$F$4+Budget!$H$4,0)</f>
        <v>0</v>
      </c>
      <c r="H260" s="17">
        <f>N("Mom Rent")-IF(DAY(A260)=Budget!$G$5,Budget!$F$5,0)</f>
        <v>0</v>
      </c>
      <c r="I260" s="17">
        <f>N("AT&amp;T")-IF(DAY(A260)=Budget!$G$8,Budget!$F$8,0)</f>
        <v>0</v>
      </c>
      <c r="J260" s="17">
        <f>N("GA Power")-IF(DAY(A260)=Budget!$G$9,Budget!$F$9,0)</f>
        <v>0</v>
      </c>
      <c r="K260" s="17">
        <f>N("Haircut")-IF(DAY(A260)=Budget!$G$10,Budget!$F$10,0)</f>
        <v>0</v>
      </c>
      <c r="L260" s="17">
        <f>N("Groceries")-IF(DAY(A260)=Budget!$G$6,Budget!$F$6,0)</f>
        <v>0</v>
      </c>
      <c r="M260" s="17">
        <f>N("Savings")-IF(DAY(A260)=Budget!$G$7,Budget!$F$7,0)</f>
        <v>0</v>
      </c>
      <c r="N260" s="17">
        <f>N("Car Insurance")-COUNTIF(Budget!$G$14, A260)*Budget!$F$14</f>
        <v>0</v>
      </c>
      <c r="O260" s="17">
        <f>N("Phone Bill")-COUNTIF(Budget!$G$15, A260)*Budget!$F$15</f>
        <v>0</v>
      </c>
      <c r="Q260" s="17">
        <f>N("Spotify")-IF(AND(DAY($A260)=Budget!$M$3, MONTH($A260)=Budget!$L$3),Budget!$K$3,0)</f>
        <v>0</v>
      </c>
      <c r="R260" s="17">
        <f>N("Spotify")-IF(AND(DAY($A260)=Budget!$M$4, MONTH($A260)=Budget!$L$4),Budget!$K$4,0)</f>
        <v>0</v>
      </c>
      <c r="S260" s="17">
        <f>N("Spotify")-IF(AND(DAY($A260)=Budget!$M$5, MONTH($A260)=Budget!$L$5),Budget!$K$5,0)</f>
        <v>0</v>
      </c>
      <c r="T260" s="17">
        <f>N("Amazon Prime")-IF(DAY(A260)=Budget!$Q$3,Budget!$P$3,0)</f>
        <v>0</v>
      </c>
      <c r="U260" s="17">
        <f>N("Audible")-IF(DAY(A260)=Budget!$Q$12,Budget!$P$12,0)</f>
        <v>0</v>
      </c>
      <c r="V260" s="17">
        <f>N("Crunchyroll")-IF(DAY(A260)=Budget!$Q$5,Budget!$P$5,0)</f>
        <v>0</v>
      </c>
      <c r="W260" s="17">
        <f>N("HBO Max")-IF(DAY(A260)=Budget!$Q$6,Budget!$P$6,0)</f>
        <v>0</v>
      </c>
      <c r="X260" s="17">
        <f>N("Netflix")-IF(DAY(A260)=Budget!$Q$7,Budget!$P$7,0)</f>
        <v>0</v>
      </c>
      <c r="Y260" s="17">
        <f>N("Spotify")-IF(DAY(A260)=Budget!$Q$8,Budget!$P$8,0)</f>
        <v>0</v>
      </c>
      <c r="Z260" s="17">
        <f>N("Truebill")-IF(DAY(A260)=Budget!$Q$9,Budget!$P$9,0)</f>
        <v>0</v>
      </c>
      <c r="AA260" s="6">
        <f t="shared" si="28"/>
        <v>0</v>
      </c>
    </row>
    <row r="261" spans="1:27" x14ac:dyDescent="0.3">
      <c r="A261" s="4">
        <f t="shared" si="30"/>
        <v>45889</v>
      </c>
      <c r="B261" s="2">
        <f t="shared" si="29"/>
        <v>6671</v>
      </c>
      <c r="C261" s="7">
        <f t="shared" si="31"/>
        <v>0</v>
      </c>
      <c r="D261" s="1">
        <v>0</v>
      </c>
      <c r="E261" s="17">
        <f>N("PAY-LM")+IF(WEEKDAY(A261)=Budget!$C$3,Budget!$B$3,0)</f>
        <v>0</v>
      </c>
      <c r="F261" s="17">
        <f>N("Rent")-IF(DAY(A261)=Budget!$G$3,Budget!$F$3,0)</f>
        <v>0</v>
      </c>
      <c r="G261" s="17">
        <f>N("Car")-IF(DAY(A261)=Budget!$G$4,Budget!$F$4+Budget!$H$4,0)</f>
        <v>0</v>
      </c>
      <c r="H261" s="17">
        <f>N("Mom Rent")-IF(DAY(A261)=Budget!$G$5,Budget!$F$5,0)</f>
        <v>-850</v>
      </c>
      <c r="I261" s="17">
        <f>N("AT&amp;T")-IF(DAY(A261)=Budget!$G$8,Budget!$F$8,0)</f>
        <v>0</v>
      </c>
      <c r="J261" s="17">
        <f>N("GA Power")-IF(DAY(A261)=Budget!$G$9,Budget!$F$9,0)</f>
        <v>0</v>
      </c>
      <c r="K261" s="17">
        <f>N("Haircut")-IF(DAY(A261)=Budget!$G$10,Budget!$F$10,0)</f>
        <v>0</v>
      </c>
      <c r="L261" s="17">
        <f>N("Groceries")-IF(DAY(A261)=Budget!$G$6,Budget!$F$6,0)</f>
        <v>0</v>
      </c>
      <c r="M261" s="17">
        <f>N("Savings")-IF(DAY(A261)=Budget!$G$7,Budget!$F$7,0)</f>
        <v>0</v>
      </c>
      <c r="N261" s="17">
        <f>N("Car Insurance")-COUNTIF(Budget!$G$14, A261)*Budget!$F$14</f>
        <v>0</v>
      </c>
      <c r="O261" s="17">
        <f>N("Phone Bill")-COUNTIF(Budget!$G$15, A261)*Budget!$F$15</f>
        <v>0</v>
      </c>
      <c r="Q261" s="17">
        <f>N("Spotify")-IF(AND(DAY($A261)=Budget!$M$3, MONTH($A261)=Budget!$L$3),Budget!$K$3,0)</f>
        <v>0</v>
      </c>
      <c r="R261" s="17">
        <f>N("Spotify")-IF(AND(DAY($A261)=Budget!$M$4, MONTH($A261)=Budget!$L$4),Budget!$K$4,0)</f>
        <v>0</v>
      </c>
      <c r="S261" s="17">
        <f>N("Spotify")-IF(AND(DAY($A261)=Budget!$M$5, MONTH($A261)=Budget!$L$5),Budget!$K$5,0)</f>
        <v>0</v>
      </c>
      <c r="T261" s="17">
        <f>N("Amazon Prime")-IF(DAY(A261)=Budget!$Q$3,Budget!$P$3,0)</f>
        <v>0</v>
      </c>
      <c r="U261" s="17">
        <f>N("Audible")-IF(DAY(A261)=Budget!$Q$12,Budget!$P$12,0)</f>
        <v>0</v>
      </c>
      <c r="V261" s="17">
        <f>N("Crunchyroll")-IF(DAY(A261)=Budget!$Q$5,Budget!$P$5,0)</f>
        <v>0</v>
      </c>
      <c r="W261" s="17">
        <f>N("HBO Max")-IF(DAY(A261)=Budget!$Q$6,Budget!$P$6,0)</f>
        <v>0</v>
      </c>
      <c r="X261" s="17">
        <f>N("Netflix")-IF(DAY(A261)=Budget!$Q$7,Budget!$P$7,0)</f>
        <v>0</v>
      </c>
      <c r="Y261" s="17">
        <f>N("Spotify")-IF(DAY(A261)=Budget!$Q$8,Budget!$P$8,0)</f>
        <v>0</v>
      </c>
      <c r="Z261" s="17">
        <f>N("Truebill")-IF(DAY(A261)=Budget!$Q$9,Budget!$P$9,0)</f>
        <v>0</v>
      </c>
      <c r="AA261" s="6">
        <f t="shared" si="28"/>
        <v>-850</v>
      </c>
    </row>
    <row r="262" spans="1:27" x14ac:dyDescent="0.3">
      <c r="A262" s="4">
        <f t="shared" si="30"/>
        <v>45890</v>
      </c>
      <c r="B262" s="2">
        <f t="shared" si="29"/>
        <v>6671</v>
      </c>
      <c r="C262" s="7">
        <f t="shared" si="31"/>
        <v>1</v>
      </c>
      <c r="D262" s="1">
        <v>0</v>
      </c>
      <c r="E262" s="17">
        <f>N("PAY-LM")+IF(WEEKDAY(A262)=Budget!$C$3,Budget!$B$3,0)</f>
        <v>0</v>
      </c>
      <c r="F262" s="17">
        <f>N("Rent")-IF(DAY(A262)=Budget!$G$3,Budget!$F$3,0)</f>
        <v>0</v>
      </c>
      <c r="G262" s="17">
        <f>N("Car")-IF(DAY(A262)=Budget!$G$4,Budget!$F$4+Budget!$H$4,0)</f>
        <v>0</v>
      </c>
      <c r="H262" s="17">
        <f>N("Mom Rent")-IF(DAY(A262)=Budget!$G$5,Budget!$F$5,0)</f>
        <v>0</v>
      </c>
      <c r="I262" s="17">
        <f>N("AT&amp;T")-IF(DAY(A262)=Budget!$G$8,Budget!$F$8,0)</f>
        <v>0</v>
      </c>
      <c r="J262" s="17">
        <f>N("GA Power")-IF(DAY(A262)=Budget!$G$9,Budget!$F$9,0)</f>
        <v>0</v>
      </c>
      <c r="K262" s="17">
        <f>N("Haircut")-IF(DAY(A262)=Budget!$G$10,Budget!$F$10,0)</f>
        <v>0</v>
      </c>
      <c r="L262" s="17">
        <f>N("Groceries")-IF(DAY(A262)=Budget!$G$6,Budget!$F$6,0)</f>
        <v>0</v>
      </c>
      <c r="M262" s="17">
        <f>N("Savings")-IF(DAY(A262)=Budget!$G$7,Budget!$F$7,0)</f>
        <v>0</v>
      </c>
      <c r="N262" s="17">
        <f>N("Car Insurance")-COUNTIF(Budget!$G$14, A262)*Budget!$F$14</f>
        <v>0</v>
      </c>
      <c r="O262" s="17">
        <f>N("Phone Bill")-COUNTIF(Budget!$G$15, A262)*Budget!$F$15</f>
        <v>0</v>
      </c>
      <c r="Q262" s="17">
        <f>N("Spotify")-IF(AND(DAY($A262)=Budget!$M$3, MONTH($A262)=Budget!$L$3),Budget!$K$3,0)</f>
        <v>0</v>
      </c>
      <c r="R262" s="17">
        <f>N("Spotify")-IF(AND(DAY($A262)=Budget!$M$4, MONTH($A262)=Budget!$L$4),Budget!$K$4,0)</f>
        <v>0</v>
      </c>
      <c r="S262" s="17">
        <f>N("Spotify")-IF(AND(DAY($A262)=Budget!$M$5, MONTH($A262)=Budget!$L$5),Budget!$K$5,0)</f>
        <v>0</v>
      </c>
      <c r="T262" s="17">
        <f>N("Amazon Prime")-IF(DAY(A262)=Budget!$Q$3,Budget!$P$3,0)</f>
        <v>0</v>
      </c>
      <c r="U262" s="17">
        <f>N("Audible")-IF(DAY(A262)=Budget!$Q$12,Budget!$P$12,0)</f>
        <v>0</v>
      </c>
      <c r="V262" s="17">
        <f>N("Crunchyroll")-IF(DAY(A262)=Budget!$Q$5,Budget!$P$5,0)</f>
        <v>0</v>
      </c>
      <c r="W262" s="17">
        <f>N("HBO Max")-IF(DAY(A262)=Budget!$Q$6,Budget!$P$6,0)</f>
        <v>0</v>
      </c>
      <c r="X262" s="17">
        <f>N("Netflix")-IF(DAY(A262)=Budget!$Q$7,Budget!$P$7,0)</f>
        <v>0</v>
      </c>
      <c r="Y262" s="17">
        <f>N("Spotify")-IF(DAY(A262)=Budget!$Q$8,Budget!$P$8,0)</f>
        <v>0</v>
      </c>
      <c r="Z262" s="17">
        <f>N("Truebill")-IF(DAY(A262)=Budget!$Q$9,Budget!$P$9,0)</f>
        <v>0</v>
      </c>
      <c r="AA262" s="6">
        <f t="shared" si="28"/>
        <v>0</v>
      </c>
    </row>
    <row r="263" spans="1:27" x14ac:dyDescent="0.3">
      <c r="A263" s="4">
        <f t="shared" si="30"/>
        <v>45891</v>
      </c>
      <c r="B263" s="2">
        <f t="shared" si="29"/>
        <v>8124</v>
      </c>
      <c r="C263" s="7">
        <f t="shared" si="31"/>
        <v>2</v>
      </c>
      <c r="D263" s="1">
        <v>0</v>
      </c>
      <c r="E263" s="17">
        <f>N("PAY-LM")+IF(WEEKDAY(A263)=Budget!$C$3,Budget!$B$3,0)</f>
        <v>1453</v>
      </c>
      <c r="F263" s="17">
        <f>N("Rent")-IF(DAY(A263)=Budget!$G$3,Budget!$F$3,0)</f>
        <v>0</v>
      </c>
      <c r="G263" s="17">
        <f>N("Car")-IF(DAY(A263)=Budget!$G$4,Budget!$F$4+Budget!$H$4,0)</f>
        <v>0</v>
      </c>
      <c r="H263" s="17">
        <f>N("Mom Rent")-IF(DAY(A263)=Budget!$G$5,Budget!$F$5,0)</f>
        <v>0</v>
      </c>
      <c r="I263" s="17">
        <f>N("AT&amp;T")-IF(DAY(A263)=Budget!$G$8,Budget!$F$8,0)</f>
        <v>0</v>
      </c>
      <c r="J263" s="17">
        <f>N("GA Power")-IF(DAY(A263)=Budget!$G$9,Budget!$F$9,0)</f>
        <v>0</v>
      </c>
      <c r="K263" s="17">
        <f>N("Haircut")-IF(DAY(A263)=Budget!$G$10,Budget!$F$10,0)</f>
        <v>0</v>
      </c>
      <c r="L263" s="17">
        <f>N("Groceries")-IF(DAY(A263)=Budget!$G$6,Budget!$F$6,0)</f>
        <v>0</v>
      </c>
      <c r="M263" s="17">
        <f>N("Savings")-IF(DAY(A263)=Budget!$G$7,Budget!$F$7,0)</f>
        <v>0</v>
      </c>
      <c r="N263" s="17">
        <f>N("Car Insurance")-COUNTIF(Budget!$G$14, A263)*Budget!$F$14</f>
        <v>0</v>
      </c>
      <c r="O263" s="17">
        <f>N("Phone Bill")-COUNTIF(Budget!$G$15, A263)*Budget!$F$15</f>
        <v>0</v>
      </c>
      <c r="Q263" s="17">
        <f>N("Spotify")-IF(AND(DAY($A263)=Budget!$M$3, MONTH($A263)=Budget!$L$3),Budget!$K$3,0)</f>
        <v>0</v>
      </c>
      <c r="R263" s="17">
        <f>N("Spotify")-IF(AND(DAY($A263)=Budget!$M$4, MONTH($A263)=Budget!$L$4),Budget!$K$4,0)</f>
        <v>0</v>
      </c>
      <c r="S263" s="17">
        <f>N("Spotify")-IF(AND(DAY($A263)=Budget!$M$5, MONTH($A263)=Budget!$L$5),Budget!$K$5,0)</f>
        <v>0</v>
      </c>
      <c r="T263" s="17">
        <f>N("Amazon Prime")-IF(DAY(A263)=Budget!$Q$3,Budget!$P$3,0)</f>
        <v>0</v>
      </c>
      <c r="U263" s="17">
        <f>N("Audible")-IF(DAY(A263)=Budget!$Q$12,Budget!$P$12,0)</f>
        <v>0</v>
      </c>
      <c r="V263" s="17">
        <f>N("Crunchyroll")-IF(DAY(A263)=Budget!$Q$5,Budget!$P$5,0)</f>
        <v>0</v>
      </c>
      <c r="W263" s="17">
        <f>N("HBO Max")-IF(DAY(A263)=Budget!$Q$6,Budget!$P$6,0)</f>
        <v>0</v>
      </c>
      <c r="X263" s="17">
        <f>N("Netflix")-IF(DAY(A263)=Budget!$Q$7,Budget!$P$7,0)</f>
        <v>0</v>
      </c>
      <c r="Y263" s="17">
        <f>N("Spotify")-IF(DAY(A263)=Budget!$Q$8,Budget!$P$8,0)</f>
        <v>0</v>
      </c>
      <c r="Z263" s="17">
        <f>N("Truebill")-IF(DAY(A263)=Budget!$Q$9,Budget!$P$9,0)</f>
        <v>0</v>
      </c>
      <c r="AA263" s="6">
        <f t="shared" si="28"/>
        <v>1453</v>
      </c>
    </row>
    <row r="264" spans="1:27" x14ac:dyDescent="0.3">
      <c r="A264" s="4">
        <f t="shared" si="30"/>
        <v>45892</v>
      </c>
      <c r="B264" s="2">
        <f t="shared" si="29"/>
        <v>8124</v>
      </c>
      <c r="C264" s="7">
        <f t="shared" si="31"/>
        <v>1</v>
      </c>
      <c r="D264" s="1">
        <v>0</v>
      </c>
      <c r="E264" s="17">
        <f>N("PAY-LM")+IF(WEEKDAY(A264)=Budget!$C$3,Budget!$B$3,0)</f>
        <v>0</v>
      </c>
      <c r="F264" s="17">
        <f>N("Rent")-IF(DAY(A264)=Budget!$G$3,Budget!$F$3,0)</f>
        <v>0</v>
      </c>
      <c r="G264" s="17">
        <f>N("Car")-IF(DAY(A264)=Budget!$G$4,Budget!$F$4+Budget!$H$4,0)</f>
        <v>0</v>
      </c>
      <c r="H264" s="17">
        <f>N("Mom Rent")-IF(DAY(A264)=Budget!$G$5,Budget!$F$5,0)</f>
        <v>0</v>
      </c>
      <c r="I264" s="17">
        <f>N("AT&amp;T")-IF(DAY(A264)=Budget!$G$8,Budget!$F$8,0)</f>
        <v>0</v>
      </c>
      <c r="J264" s="17">
        <f>N("GA Power")-IF(DAY(A264)=Budget!$G$9,Budget!$F$9,0)</f>
        <v>0</v>
      </c>
      <c r="K264" s="17">
        <f>N("Haircut")-IF(DAY(A264)=Budget!$G$10,Budget!$F$10,0)</f>
        <v>0</v>
      </c>
      <c r="L264" s="17">
        <f>N("Groceries")-IF(DAY(A264)=Budget!$G$6,Budget!$F$6,0)</f>
        <v>0</v>
      </c>
      <c r="M264" s="17">
        <f>N("Savings")-IF(DAY(A264)=Budget!$G$7,Budget!$F$7,0)</f>
        <v>0</v>
      </c>
      <c r="N264" s="17">
        <f>N("Car Insurance")-COUNTIF(Budget!$G$14, A264)*Budget!$F$14</f>
        <v>0</v>
      </c>
      <c r="O264" s="17">
        <f>N("Phone Bill")-COUNTIF(Budget!$G$15, A264)*Budget!$F$15</f>
        <v>0</v>
      </c>
      <c r="Q264" s="17">
        <f>N("Spotify")-IF(AND(DAY($A264)=Budget!$M$3, MONTH($A264)=Budget!$L$3),Budget!$K$3,0)</f>
        <v>0</v>
      </c>
      <c r="R264" s="17">
        <f>N("Spotify")-IF(AND(DAY($A264)=Budget!$M$4, MONTH($A264)=Budget!$L$4),Budget!$K$4,0)</f>
        <v>0</v>
      </c>
      <c r="S264" s="17">
        <f>N("Spotify")-IF(AND(DAY($A264)=Budget!$M$5, MONTH($A264)=Budget!$L$5),Budget!$K$5,0)</f>
        <v>0</v>
      </c>
      <c r="T264" s="17">
        <f>N("Amazon Prime")-IF(DAY(A264)=Budget!$Q$3,Budget!$P$3,0)</f>
        <v>0</v>
      </c>
      <c r="U264" s="17">
        <f>N("Audible")-IF(DAY(A264)=Budget!$Q$12,Budget!$P$12,0)</f>
        <v>0</v>
      </c>
      <c r="V264" s="17">
        <f>N("Crunchyroll")-IF(DAY(A264)=Budget!$Q$5,Budget!$P$5,0)</f>
        <v>0</v>
      </c>
      <c r="W264" s="17">
        <f>N("HBO Max")-IF(DAY(A264)=Budget!$Q$6,Budget!$P$6,0)</f>
        <v>0</v>
      </c>
      <c r="X264" s="17">
        <f>N("Netflix")-IF(DAY(A264)=Budget!$Q$7,Budget!$P$7,0)</f>
        <v>0</v>
      </c>
      <c r="Y264" s="17">
        <f>N("Spotify")-IF(DAY(A264)=Budget!$Q$8,Budget!$P$8,0)</f>
        <v>0</v>
      </c>
      <c r="Z264" s="17">
        <f>N("Truebill")-IF(DAY(A264)=Budget!$Q$9,Budget!$P$9,0)</f>
        <v>0</v>
      </c>
      <c r="AA264" s="6">
        <f t="shared" si="28"/>
        <v>0</v>
      </c>
    </row>
    <row r="265" spans="1:27" x14ac:dyDescent="0.3">
      <c r="A265" s="4">
        <f t="shared" si="30"/>
        <v>45893</v>
      </c>
      <c r="B265" s="2">
        <f t="shared" si="29"/>
        <v>8124</v>
      </c>
      <c r="C265" s="7">
        <f t="shared" si="31"/>
        <v>1</v>
      </c>
      <c r="D265" s="1">
        <v>0</v>
      </c>
      <c r="E265" s="17">
        <f>N("PAY-LM")+IF(WEEKDAY(A265)=Budget!$C$3,Budget!$B$3,0)</f>
        <v>0</v>
      </c>
      <c r="F265" s="17">
        <f>N("Rent")-IF(DAY(A265)=Budget!$G$3,Budget!$F$3,0)</f>
        <v>0</v>
      </c>
      <c r="G265" s="17">
        <f>N("Car")-IF(DAY(A265)=Budget!$G$4,Budget!$F$4+Budget!$H$4,0)</f>
        <v>0</v>
      </c>
      <c r="H265" s="17">
        <f>N("Mom Rent")-IF(DAY(A265)=Budget!$G$5,Budget!$F$5,0)</f>
        <v>0</v>
      </c>
      <c r="I265" s="17">
        <f>N("AT&amp;T")-IF(DAY(A265)=Budget!$G$8,Budget!$F$8,0)</f>
        <v>0</v>
      </c>
      <c r="J265" s="17">
        <f>N("GA Power")-IF(DAY(A265)=Budget!$G$9,Budget!$F$9,0)</f>
        <v>0</v>
      </c>
      <c r="K265" s="17">
        <f>N("Haircut")-IF(DAY(A265)=Budget!$G$10,Budget!$F$10,0)</f>
        <v>0</v>
      </c>
      <c r="L265" s="17">
        <f>N("Groceries")-IF(DAY(A265)=Budget!$G$6,Budget!$F$6,0)</f>
        <v>0</v>
      </c>
      <c r="M265" s="17">
        <f>N("Savings")-IF(DAY(A265)=Budget!$G$7,Budget!$F$7,0)</f>
        <v>0</v>
      </c>
      <c r="N265" s="17">
        <f>N("Car Insurance")-COUNTIF(Budget!$G$14, A265)*Budget!$F$14</f>
        <v>0</v>
      </c>
      <c r="O265" s="17">
        <f>N("Phone Bill")-COUNTIF(Budget!$G$15, A265)*Budget!$F$15</f>
        <v>0</v>
      </c>
      <c r="Q265" s="17">
        <f>N("Spotify")-IF(AND(DAY($A265)=Budget!$M$3, MONTH($A265)=Budget!$L$3),Budget!$K$3,0)</f>
        <v>0</v>
      </c>
      <c r="R265" s="17">
        <f>N("Spotify")-IF(AND(DAY($A265)=Budget!$M$4, MONTH($A265)=Budget!$L$4),Budget!$K$4,0)</f>
        <v>0</v>
      </c>
      <c r="S265" s="17">
        <f>N("Spotify")-IF(AND(DAY($A265)=Budget!$M$5, MONTH($A265)=Budget!$L$5),Budget!$K$5,0)</f>
        <v>0</v>
      </c>
      <c r="T265" s="17">
        <f>N("Amazon Prime")-IF(DAY(A265)=Budget!$Q$3,Budget!$P$3,0)</f>
        <v>0</v>
      </c>
      <c r="U265" s="17">
        <f>N("Audible")-IF(DAY(A265)=Budget!$Q$12,Budget!$P$12,0)</f>
        <v>0</v>
      </c>
      <c r="V265" s="17">
        <f>N("Crunchyroll")-IF(DAY(A265)=Budget!$Q$5,Budget!$P$5,0)</f>
        <v>0</v>
      </c>
      <c r="W265" s="17">
        <f>N("HBO Max")-IF(DAY(A265)=Budget!$Q$6,Budget!$P$6,0)</f>
        <v>0</v>
      </c>
      <c r="X265" s="17">
        <f>N("Netflix")-IF(DAY(A265)=Budget!$Q$7,Budget!$P$7,0)</f>
        <v>0</v>
      </c>
      <c r="Y265" s="17">
        <f>N("Spotify")-IF(DAY(A265)=Budget!$Q$8,Budget!$P$8,0)</f>
        <v>0</v>
      </c>
      <c r="Z265" s="17">
        <f>N("Truebill")-IF(DAY(A265)=Budget!$Q$9,Budget!$P$9,0)</f>
        <v>0</v>
      </c>
      <c r="AA265" s="6">
        <f t="shared" si="28"/>
        <v>0</v>
      </c>
    </row>
    <row r="266" spans="1:27" x14ac:dyDescent="0.3">
      <c r="A266" s="4">
        <f t="shared" si="30"/>
        <v>45894</v>
      </c>
      <c r="B266" s="2">
        <f t="shared" si="29"/>
        <v>8124</v>
      </c>
      <c r="C266" s="7">
        <f t="shared" si="31"/>
        <v>1</v>
      </c>
      <c r="D266" s="1">
        <v>0</v>
      </c>
      <c r="E266" s="17">
        <f>N("PAY-LM")+IF(WEEKDAY(A266)=Budget!$C$3,Budget!$B$3,0)</f>
        <v>0</v>
      </c>
      <c r="F266" s="17">
        <f>N("Rent")-IF(DAY(A266)=Budget!$G$3,Budget!$F$3,0)</f>
        <v>0</v>
      </c>
      <c r="G266" s="17">
        <f>N("Car")-IF(DAY(A266)=Budget!$G$4,Budget!$F$4+Budget!$H$4,0)</f>
        <v>0</v>
      </c>
      <c r="H266" s="17">
        <f>N("Mom Rent")-IF(DAY(A266)=Budget!$G$5,Budget!$F$5,0)</f>
        <v>0</v>
      </c>
      <c r="I266" s="17">
        <f>N("AT&amp;T")-IF(DAY(A266)=Budget!$G$8,Budget!$F$8,0)</f>
        <v>0</v>
      </c>
      <c r="J266" s="17">
        <f>N("GA Power")-IF(DAY(A266)=Budget!$G$9,Budget!$F$9,0)</f>
        <v>0</v>
      </c>
      <c r="K266" s="17">
        <f>N("Haircut")-IF(DAY(A266)=Budget!$G$10,Budget!$F$10,0)</f>
        <v>0</v>
      </c>
      <c r="L266" s="17">
        <f>N("Groceries")-IF(DAY(A266)=Budget!$G$6,Budget!$F$6,0)</f>
        <v>0</v>
      </c>
      <c r="M266" s="17">
        <f>N("Savings")-IF(DAY(A266)=Budget!$G$7,Budget!$F$7,0)</f>
        <v>0</v>
      </c>
      <c r="N266" s="17">
        <f>N("Car Insurance")-COUNTIF(Budget!$G$14, A266)*Budget!$F$14</f>
        <v>0</v>
      </c>
      <c r="O266" s="17">
        <f>N("Phone Bill")-COUNTIF(Budget!$G$15, A266)*Budget!$F$15</f>
        <v>0</v>
      </c>
      <c r="Q266" s="17">
        <f>N("Spotify")-IF(AND(DAY($A266)=Budget!$M$3, MONTH($A266)=Budget!$L$3),Budget!$K$3,0)</f>
        <v>0</v>
      </c>
      <c r="R266" s="17">
        <f>N("Spotify")-IF(AND(DAY($A266)=Budget!$M$4, MONTH($A266)=Budget!$L$4),Budget!$K$4,0)</f>
        <v>0</v>
      </c>
      <c r="S266" s="17">
        <f>N("Spotify")-IF(AND(DAY($A266)=Budget!$M$5, MONTH($A266)=Budget!$L$5),Budget!$K$5,0)</f>
        <v>0</v>
      </c>
      <c r="T266" s="17">
        <f>N("Amazon Prime")-IF(DAY(A266)=Budget!$Q$3,Budget!$P$3,0)</f>
        <v>0</v>
      </c>
      <c r="U266" s="17">
        <f>N("Audible")-IF(DAY(A266)=Budget!$Q$12,Budget!$P$12,0)</f>
        <v>0</v>
      </c>
      <c r="V266" s="17">
        <f>N("Crunchyroll")-IF(DAY(A266)=Budget!$Q$5,Budget!$P$5,0)</f>
        <v>0</v>
      </c>
      <c r="W266" s="17">
        <f>N("HBO Max")-IF(DAY(A266)=Budget!$Q$6,Budget!$P$6,0)</f>
        <v>0</v>
      </c>
      <c r="X266" s="17">
        <f>N("Netflix")-IF(DAY(A266)=Budget!$Q$7,Budget!$P$7,0)</f>
        <v>0</v>
      </c>
      <c r="Y266" s="17">
        <f>N("Spotify")-IF(DAY(A266)=Budget!$Q$8,Budget!$P$8,0)</f>
        <v>0</v>
      </c>
      <c r="Z266" s="17">
        <f>N("Truebill")-IF(DAY(A266)=Budget!$Q$9,Budget!$P$9,0)</f>
        <v>0</v>
      </c>
      <c r="AA266" s="6">
        <f t="shared" si="28"/>
        <v>0</v>
      </c>
    </row>
    <row r="267" spans="1:27" x14ac:dyDescent="0.3">
      <c r="A267" s="4">
        <f t="shared" si="30"/>
        <v>45895</v>
      </c>
      <c r="B267" s="2">
        <f t="shared" si="29"/>
        <v>7724</v>
      </c>
      <c r="C267" s="7">
        <f t="shared" si="31"/>
        <v>0</v>
      </c>
      <c r="D267" s="1">
        <v>0</v>
      </c>
      <c r="E267" s="17">
        <f>N("PAY-LM")+IF(WEEKDAY(A267)=Budget!$C$3,Budget!$B$3,0)</f>
        <v>0</v>
      </c>
      <c r="F267" s="17">
        <f>N("Rent")-IF(DAY(A267)=Budget!$G$3,Budget!$F$3,0)</f>
        <v>0</v>
      </c>
      <c r="G267" s="17">
        <f>N("Car")-IF(DAY(A267)=Budget!$G$4,Budget!$F$4+Budget!$H$4,0)</f>
        <v>0</v>
      </c>
      <c r="H267" s="17">
        <f>N("Mom Rent")-IF(DAY(A267)=Budget!$G$5,Budget!$F$5,0)</f>
        <v>0</v>
      </c>
      <c r="I267" s="17">
        <f>N("AT&amp;T")-IF(DAY(A267)=Budget!$G$8,Budget!$F$8,0)</f>
        <v>0</v>
      </c>
      <c r="J267" s="17">
        <f>N("GA Power")-IF(DAY(A267)=Budget!$G$9,Budget!$F$9,0)</f>
        <v>0</v>
      </c>
      <c r="K267" s="17">
        <f>N("Haircut")-IF(DAY(A267)=Budget!$G$10,Budget!$F$10,0)</f>
        <v>-400</v>
      </c>
      <c r="L267" s="17">
        <f>N("Groceries")-IF(DAY(A267)=Budget!$G$6,Budget!$F$6,0)</f>
        <v>0</v>
      </c>
      <c r="M267" s="17">
        <f>N("Savings")-IF(DAY(A267)=Budget!$G$7,Budget!$F$7,0)</f>
        <v>0</v>
      </c>
      <c r="N267" s="17">
        <f>N("Car Insurance")-COUNTIF(Budget!$G$14, A267)*Budget!$F$14</f>
        <v>0</v>
      </c>
      <c r="O267" s="17">
        <f>N("Phone Bill")-COUNTIF(Budget!$G$15, A267)*Budget!$F$15</f>
        <v>0</v>
      </c>
      <c r="Q267" s="17">
        <f>N("Spotify")-IF(AND(DAY($A267)=Budget!$M$3, MONTH($A267)=Budget!$L$3),Budget!$K$3,0)</f>
        <v>0</v>
      </c>
      <c r="R267" s="17">
        <f>N("Spotify")-IF(AND(DAY($A267)=Budget!$M$4, MONTH($A267)=Budget!$L$4),Budget!$K$4,0)</f>
        <v>0</v>
      </c>
      <c r="S267" s="17">
        <f>N("Spotify")-IF(AND(DAY($A267)=Budget!$M$5, MONTH($A267)=Budget!$L$5),Budget!$K$5,0)</f>
        <v>0</v>
      </c>
      <c r="T267" s="17">
        <f>N("Amazon Prime")-IF(DAY(A267)=Budget!$Q$3,Budget!$P$3,0)</f>
        <v>0</v>
      </c>
      <c r="U267" s="17">
        <f>N("Audible")-IF(DAY(A267)=Budget!$Q$12,Budget!$P$12,0)</f>
        <v>0</v>
      </c>
      <c r="V267" s="17">
        <f>N("Crunchyroll")-IF(DAY(A267)=Budget!$Q$5,Budget!$P$5,0)</f>
        <v>0</v>
      </c>
      <c r="W267" s="17">
        <f>N("HBO Max")-IF(DAY(A267)=Budget!$Q$6,Budget!$P$6,0)</f>
        <v>0</v>
      </c>
      <c r="X267" s="17">
        <f>N("Netflix")-IF(DAY(A267)=Budget!$Q$7,Budget!$P$7,0)</f>
        <v>0</v>
      </c>
      <c r="Y267" s="17">
        <f>N("Spotify")-IF(DAY(A267)=Budget!$Q$8,Budget!$P$8,0)</f>
        <v>0</v>
      </c>
      <c r="Z267" s="17">
        <f>N("Truebill")-IF(DAY(A267)=Budget!$Q$9,Budget!$P$9,0)</f>
        <v>0</v>
      </c>
      <c r="AA267" s="6">
        <f t="shared" si="28"/>
        <v>-400</v>
      </c>
    </row>
    <row r="268" spans="1:27" x14ac:dyDescent="0.3">
      <c r="A268" s="4">
        <f t="shared" si="30"/>
        <v>45896</v>
      </c>
      <c r="B268" s="2">
        <f t="shared" si="29"/>
        <v>7724</v>
      </c>
      <c r="C268" s="7">
        <f t="shared" si="31"/>
        <v>1</v>
      </c>
      <c r="D268" s="1">
        <v>0</v>
      </c>
      <c r="E268" s="17">
        <f>N("PAY-LM")+IF(WEEKDAY(A268)=Budget!$C$3,Budget!$B$3,0)</f>
        <v>0</v>
      </c>
      <c r="F268" s="17">
        <f>N("Rent")-IF(DAY(A268)=Budget!$G$3,Budget!$F$3,0)</f>
        <v>0</v>
      </c>
      <c r="G268" s="17">
        <f>N("Car")-IF(DAY(A268)=Budget!$G$4,Budget!$F$4+Budget!$H$4,0)</f>
        <v>0</v>
      </c>
      <c r="H268" s="17">
        <f>N("Mom Rent")-IF(DAY(A268)=Budget!$G$5,Budget!$F$5,0)</f>
        <v>0</v>
      </c>
      <c r="I268" s="17">
        <f>N("AT&amp;T")-IF(DAY(A268)=Budget!$G$8,Budget!$F$8,0)</f>
        <v>0</v>
      </c>
      <c r="J268" s="17">
        <f>N("GA Power")-IF(DAY(A268)=Budget!$G$9,Budget!$F$9,0)</f>
        <v>0</v>
      </c>
      <c r="K268" s="17">
        <f>N("Haircut")-IF(DAY(A268)=Budget!$G$10,Budget!$F$10,0)</f>
        <v>0</v>
      </c>
      <c r="L268" s="17">
        <f>N("Groceries")-IF(DAY(A268)=Budget!$G$6,Budget!$F$6,0)</f>
        <v>0</v>
      </c>
      <c r="M268" s="17">
        <f>N("Savings")-IF(DAY(A268)=Budget!$G$7,Budget!$F$7,0)</f>
        <v>0</v>
      </c>
      <c r="N268" s="17">
        <f>N("Car Insurance")-COUNTIF(Budget!$G$14, A268)*Budget!$F$14</f>
        <v>0</v>
      </c>
      <c r="O268" s="17">
        <f>N("Phone Bill")-COUNTIF(Budget!$G$15, A268)*Budget!$F$15</f>
        <v>0</v>
      </c>
      <c r="Q268" s="17">
        <f>N("Spotify")-IF(AND(DAY($A268)=Budget!$M$3, MONTH($A268)=Budget!$L$3),Budget!$K$3,0)</f>
        <v>0</v>
      </c>
      <c r="R268" s="17">
        <f>N("Spotify")-IF(AND(DAY($A268)=Budget!$M$4, MONTH($A268)=Budget!$L$4),Budget!$K$4,0)</f>
        <v>0</v>
      </c>
      <c r="S268" s="17">
        <f>N("Spotify")-IF(AND(DAY($A268)=Budget!$M$5, MONTH($A268)=Budget!$L$5),Budget!$K$5,0)</f>
        <v>0</v>
      </c>
      <c r="T268" s="17">
        <f>N("Amazon Prime")-IF(DAY(A268)=Budget!$Q$3,Budget!$P$3,0)</f>
        <v>0</v>
      </c>
      <c r="U268" s="17">
        <f>N("Audible")-IF(DAY(A268)=Budget!$Q$12,Budget!$P$12,0)</f>
        <v>0</v>
      </c>
      <c r="V268" s="17">
        <f>N("Crunchyroll")-IF(DAY(A268)=Budget!$Q$5,Budget!$P$5,0)</f>
        <v>0</v>
      </c>
      <c r="W268" s="17">
        <f>N("HBO Max")-IF(DAY(A268)=Budget!$Q$6,Budget!$P$6,0)</f>
        <v>0</v>
      </c>
      <c r="X268" s="17">
        <f>N("Netflix")-IF(DAY(A268)=Budget!$Q$7,Budget!$P$7,0)</f>
        <v>0</v>
      </c>
      <c r="Y268" s="17">
        <f>N("Spotify")-IF(DAY(A268)=Budget!$Q$8,Budget!$P$8,0)</f>
        <v>0</v>
      </c>
      <c r="Z268" s="17">
        <f>N("Truebill")-IF(DAY(A268)=Budget!$Q$9,Budget!$P$9,0)</f>
        <v>0</v>
      </c>
      <c r="AA268" s="6">
        <f t="shared" si="28"/>
        <v>0</v>
      </c>
    </row>
    <row r="269" spans="1:27" x14ac:dyDescent="0.3">
      <c r="A269" s="4">
        <f t="shared" si="30"/>
        <v>45897</v>
      </c>
      <c r="B269" s="2">
        <f t="shared" si="29"/>
        <v>6574</v>
      </c>
      <c r="C269" s="7">
        <f t="shared" si="31"/>
        <v>0</v>
      </c>
      <c r="D269" s="1">
        <v>0</v>
      </c>
      <c r="E269" s="17">
        <f>N("PAY-LM")+IF(WEEKDAY(A269)=Budget!$C$3,Budget!$B$3,0)</f>
        <v>0</v>
      </c>
      <c r="F269" s="17">
        <f>N("Rent")-IF(DAY(A269)=Budget!$G$3,Budget!$F$3,0)</f>
        <v>0</v>
      </c>
      <c r="G269" s="17">
        <f>N("Car")-IF(DAY(A269)=Budget!$G$4,Budget!$F$4+Budget!$H$4,0)</f>
        <v>0</v>
      </c>
      <c r="H269" s="17">
        <f>N("Mom Rent")-IF(DAY(A269)=Budget!$G$5,Budget!$F$5,0)</f>
        <v>0</v>
      </c>
      <c r="I269" s="17">
        <f>N("AT&amp;T")-IF(DAY(A269)=Budget!$G$8,Budget!$F$8,0)</f>
        <v>0</v>
      </c>
      <c r="J269" s="17">
        <f>N("GA Power")-IF(DAY(A269)=Budget!$G$9,Budget!$F$9,0)</f>
        <v>0</v>
      </c>
      <c r="K269" s="17">
        <f>N("Haircut")-IF(DAY(A269)=Budget!$G$10,Budget!$F$10,0)</f>
        <v>0</v>
      </c>
      <c r="L269" s="17">
        <f>N("Groceries")-IF(DAY(A269)=Budget!$G$6,Budget!$F$6,0)</f>
        <v>0</v>
      </c>
      <c r="M269" s="17">
        <f>N("Savings")-IF(DAY(A269)=Budget!$G$7,Budget!$F$7,0)</f>
        <v>-1000</v>
      </c>
      <c r="N269" s="17">
        <f>N("Car Insurance")-COUNTIF(Budget!$G$14, A269)*Budget!$F$14</f>
        <v>0</v>
      </c>
      <c r="O269" s="17">
        <f>N("Phone Bill")-COUNTIF(Budget!$G$15, A269)*Budget!$F$15</f>
        <v>0</v>
      </c>
      <c r="Q269" s="17">
        <f>N("Spotify")-IF(AND(DAY($A269)=Budget!$M$3, MONTH($A269)=Budget!$L$3),Budget!$K$3,0)</f>
        <v>0</v>
      </c>
      <c r="R269" s="17">
        <f>N("Spotify")-IF(AND(DAY($A269)=Budget!$M$4, MONTH($A269)=Budget!$L$4),Budget!$K$4,0)</f>
        <v>0</v>
      </c>
      <c r="S269" s="17">
        <f>N("Spotify")-IF(AND(DAY($A269)=Budget!$M$5, MONTH($A269)=Budget!$L$5),Budget!$K$5,0)</f>
        <v>0</v>
      </c>
      <c r="T269" s="17">
        <f>N("Amazon Prime")-IF(DAY(A269)=Budget!$Q$3,Budget!$P$3,0)</f>
        <v>0</v>
      </c>
      <c r="U269" s="17">
        <f>N("Audible")-IF(DAY(A269)=Budget!$Q$12,Budget!$P$12,0)</f>
        <v>0</v>
      </c>
      <c r="V269" s="17">
        <f>N("Crunchyroll")-IF(DAY(A269)=Budget!$Q$5,Budget!$P$5,0)</f>
        <v>0</v>
      </c>
      <c r="W269" s="17">
        <f>N("HBO Max")-IF(DAY(A269)=Budget!$Q$6,Budget!$P$6,0)</f>
        <v>0</v>
      </c>
      <c r="X269" s="17">
        <f>N("Netflix")-IF(DAY(A269)=Budget!$Q$7,Budget!$P$7,0)</f>
        <v>0</v>
      </c>
      <c r="Y269" s="17">
        <f>N("Spotify")-IF(DAY(A269)=Budget!$Q$8,Budget!$P$8,0)</f>
        <v>-150</v>
      </c>
      <c r="Z269" s="17">
        <f>N("Truebill")-IF(DAY(A269)=Budget!$Q$9,Budget!$P$9,0)</f>
        <v>0</v>
      </c>
      <c r="AA269" s="6">
        <f t="shared" si="28"/>
        <v>-1150</v>
      </c>
    </row>
    <row r="270" spans="1:27" x14ac:dyDescent="0.3">
      <c r="A270" s="4">
        <f t="shared" si="30"/>
        <v>45898</v>
      </c>
      <c r="B270" s="2">
        <f t="shared" si="29"/>
        <v>8002.4</v>
      </c>
      <c r="C270" s="7">
        <f>IF(B270&gt;B269,2,IF(B270=B269, 1,0))</f>
        <v>2</v>
      </c>
      <c r="D270" s="1">
        <v>0</v>
      </c>
      <c r="E270" s="17">
        <f>N("PAY-LM")+IF(WEEKDAY(A270)=Budget!$C$3,Budget!$B$3,0)</f>
        <v>1453</v>
      </c>
      <c r="F270" s="17">
        <f>N("Rent")-IF(DAY(A270)=Budget!$G$3,Budget!$F$3,0)</f>
        <v>0</v>
      </c>
      <c r="G270" s="17">
        <f>N("Car")-IF(DAY(A270)=Budget!$G$4,Budget!$F$4+Budget!$H$4,0)</f>
        <v>0</v>
      </c>
      <c r="H270" s="17">
        <f>N("Mom Rent")-IF(DAY(A270)=Budget!$G$5,Budget!$F$5,0)</f>
        <v>0</v>
      </c>
      <c r="I270" s="17">
        <f>N("AT&amp;T")-IF(DAY(A270)=Budget!$G$8,Budget!$F$8,0)</f>
        <v>0</v>
      </c>
      <c r="J270" s="17">
        <f>N("GA Power")-IF(DAY(A270)=Budget!$G$9,Budget!$F$9,0)</f>
        <v>0</v>
      </c>
      <c r="K270" s="17">
        <f>N("Haircut")-IF(DAY(A270)=Budget!$G$10,Budget!$F$10,0)</f>
        <v>0</v>
      </c>
      <c r="L270" s="17">
        <f>N("Groceries")-IF(DAY(A270)=Budget!$G$6,Budget!$F$6,0)</f>
        <v>0</v>
      </c>
      <c r="M270" s="17">
        <f>N("Savings")-IF(DAY(A270)=Budget!$G$7,Budget!$F$7,0)</f>
        <v>0</v>
      </c>
      <c r="N270" s="17">
        <f>N("Car Insurance")-COUNTIF(Budget!$G$14, A270)*Budget!$F$14</f>
        <v>0</v>
      </c>
      <c r="O270" s="17">
        <f>N("Phone Bill")-COUNTIF(Budget!$G$15, A270)*Budget!$F$15</f>
        <v>0</v>
      </c>
      <c r="Q270" s="17">
        <f>N("Spotify")-IF(AND(DAY($A270)=Budget!$M$3, MONTH($A270)=Budget!$L$3),Budget!$K$3,0)</f>
        <v>0</v>
      </c>
      <c r="R270" s="17">
        <f>N("Spotify")-IF(AND(DAY($A270)=Budget!$M$4, MONTH($A270)=Budget!$L$4),Budget!$K$4,0)</f>
        <v>0</v>
      </c>
      <c r="S270" s="17">
        <f>N("Spotify")-IF(AND(DAY($A270)=Budget!$M$5, MONTH($A270)=Budget!$L$5),Budget!$K$5,0)</f>
        <v>0</v>
      </c>
      <c r="T270" s="17">
        <f>N("Amazon Prime")-IF(DAY(A270)=Budget!$Q$3,Budget!$P$3,0)</f>
        <v>0</v>
      </c>
      <c r="U270" s="17">
        <f>N("Audible")-IF(DAY(A270)=Budget!$Q$12,Budget!$P$12,0)</f>
        <v>0</v>
      </c>
      <c r="V270" s="17">
        <f>N("Crunchyroll")-IF(DAY(A270)=Budget!$Q$5,Budget!$P$5,0)</f>
        <v>-24.6</v>
      </c>
      <c r="W270" s="17">
        <f>N("HBO Max")-IF(DAY(A270)=Budget!$Q$6,Budget!$P$6,0)</f>
        <v>0</v>
      </c>
      <c r="X270" s="17">
        <f>N("Netflix")-IF(DAY(A270)=Budget!$Q$7,Budget!$P$7,0)</f>
        <v>0</v>
      </c>
      <c r="Y270" s="17">
        <f>N("Spotify")-IF(DAY(A270)=Budget!$Q$8,Budget!$P$8,0)</f>
        <v>0</v>
      </c>
      <c r="Z270" s="17">
        <f>N("Truebill")-IF(DAY(A270)=Budget!$Q$9,Budget!$P$9,0)</f>
        <v>0</v>
      </c>
      <c r="AA270" s="6">
        <f t="shared" si="28"/>
        <v>1428.4</v>
      </c>
    </row>
    <row r="271" spans="1:27" x14ac:dyDescent="0.3">
      <c r="A271" s="4">
        <f t="shared" si="30"/>
        <v>45899</v>
      </c>
      <c r="B271" s="2">
        <f t="shared" si="29"/>
        <v>8002.4</v>
      </c>
      <c r="C271" s="7">
        <f>IF(B271&gt;B270,2,IF(B271=B270, 1,0))</f>
        <v>1</v>
      </c>
      <c r="D271" s="1">
        <v>0</v>
      </c>
      <c r="E271" s="17">
        <f>N("PAY-LM")+IF(WEEKDAY(A271)=Budget!$C$3,Budget!$B$3,0)</f>
        <v>0</v>
      </c>
      <c r="F271" s="17">
        <f>N("Rent")-IF(DAY(A271)=Budget!$G$3,Budget!$F$3,0)</f>
        <v>0</v>
      </c>
      <c r="G271" s="17">
        <f>N("Car")-IF(DAY(A271)=Budget!$G$4,Budget!$F$4+Budget!$H$4,0)</f>
        <v>0</v>
      </c>
      <c r="H271" s="17">
        <f>N("Mom Rent")-IF(DAY(A271)=Budget!$G$5,Budget!$F$5,0)</f>
        <v>0</v>
      </c>
      <c r="I271" s="17">
        <f>N("AT&amp;T")-IF(DAY(A271)=Budget!$G$8,Budget!$F$8,0)</f>
        <v>0</v>
      </c>
      <c r="J271" s="17">
        <f>N("GA Power")-IF(DAY(A271)=Budget!$G$9,Budget!$F$9,0)</f>
        <v>0</v>
      </c>
      <c r="K271" s="17">
        <f>N("Haircut")-IF(DAY(A271)=Budget!$G$10,Budget!$F$10,0)</f>
        <v>0</v>
      </c>
      <c r="L271" s="17">
        <f>N("Groceries")-IF(DAY(A271)=Budget!$G$6,Budget!$F$6,0)</f>
        <v>0</v>
      </c>
      <c r="M271" s="17">
        <f>N("Savings")-IF(DAY(A271)=Budget!$G$7,Budget!$F$7,0)</f>
        <v>0</v>
      </c>
      <c r="N271" s="17">
        <f>N("Car Insurance")-COUNTIF(Budget!$G$14, A271)*Budget!$F$14</f>
        <v>0</v>
      </c>
      <c r="O271" s="17">
        <f>N("Phone Bill")-COUNTIF(Budget!$G$15, A271)*Budget!$F$15</f>
        <v>0</v>
      </c>
      <c r="Q271" s="17">
        <f>N("Spotify")-IF(AND(DAY($A271)=Budget!$M$3, MONTH($A271)=Budget!$L$3),Budget!$K$3,0)</f>
        <v>0</v>
      </c>
      <c r="R271" s="17">
        <f>N("Spotify")-IF(AND(DAY($A271)=Budget!$M$4, MONTH($A271)=Budget!$L$4),Budget!$K$4,0)</f>
        <v>0</v>
      </c>
      <c r="S271" s="17">
        <f>N("Spotify")-IF(AND(DAY($A271)=Budget!$M$5, MONTH($A271)=Budget!$L$5),Budget!$K$5,0)</f>
        <v>0</v>
      </c>
      <c r="T271" s="17">
        <f>N("Amazon Prime")-IF(DAY(A271)=Budget!$Q$3,Budget!$P$3,0)</f>
        <v>0</v>
      </c>
      <c r="U271" s="17">
        <f>N("Audible")-IF(DAY(A271)=Budget!$Q$12,Budget!$P$12,0)</f>
        <v>0</v>
      </c>
      <c r="V271" s="17">
        <f>N("Crunchyroll")-IF(DAY(A271)=Budget!$Q$5,Budget!$P$5,0)</f>
        <v>0</v>
      </c>
      <c r="W271" s="17">
        <f>N("HBO Max")-IF(DAY(A271)=Budget!$Q$6,Budget!$P$6,0)</f>
        <v>0</v>
      </c>
      <c r="X271" s="17">
        <f>N("Netflix")-IF(DAY(A271)=Budget!$Q$7,Budget!$P$7,0)</f>
        <v>0</v>
      </c>
      <c r="Y271" s="17">
        <f>N("Spotify")-IF(DAY(A271)=Budget!$Q$8,Budget!$P$8,0)</f>
        <v>0</v>
      </c>
      <c r="Z271" s="17">
        <f>N("Truebill")-IF(DAY(A271)=Budget!$Q$9,Budget!$P$9,0)</f>
        <v>0</v>
      </c>
      <c r="AA271" s="6">
        <f t="shared" si="28"/>
        <v>0</v>
      </c>
    </row>
    <row r="272" spans="1:27" x14ac:dyDescent="0.3">
      <c r="A272" s="4">
        <f t="shared" si="30"/>
        <v>45900</v>
      </c>
      <c r="B272" s="2">
        <f t="shared" si="29"/>
        <v>8002.4</v>
      </c>
      <c r="C272" s="7">
        <f>IF(B272&gt;B271,2,IF(B272=B271, 1,0))</f>
        <v>1</v>
      </c>
      <c r="D272" s="1">
        <v>0</v>
      </c>
      <c r="E272" s="17">
        <f>N("PAY-LM")+IF(WEEKDAY(A272)=Budget!$C$3,Budget!$B$3,0)</f>
        <v>0</v>
      </c>
      <c r="F272" s="17">
        <f>N("Rent")-IF(DAY(A272)=Budget!$G$3,Budget!$F$3,0)</f>
        <v>0</v>
      </c>
      <c r="G272" s="17">
        <f>N("Car")-IF(DAY(A272)=Budget!$G$4,Budget!$F$4+Budget!$H$4,0)</f>
        <v>0</v>
      </c>
      <c r="H272" s="17">
        <f>N("Mom Rent")-IF(DAY(A272)=Budget!$G$5,Budget!$F$5,0)</f>
        <v>0</v>
      </c>
      <c r="I272" s="17">
        <f>N("AT&amp;T")-IF(DAY(A272)=Budget!$G$8,Budget!$F$8,0)</f>
        <v>0</v>
      </c>
      <c r="J272" s="17">
        <f>N("GA Power")-IF(DAY(A272)=Budget!$G$9,Budget!$F$9,0)</f>
        <v>0</v>
      </c>
      <c r="K272" s="17">
        <f>N("Haircut")-IF(DAY(A272)=Budget!$G$10,Budget!$F$10,0)</f>
        <v>0</v>
      </c>
      <c r="L272" s="17">
        <f>N("Groceries")-IF(DAY(A272)=Budget!$G$6,Budget!$F$6,0)</f>
        <v>0</v>
      </c>
      <c r="M272" s="17">
        <f>N("Savings")-IF(DAY(A272)=Budget!$G$7,Budget!$F$7,0)</f>
        <v>0</v>
      </c>
      <c r="N272" s="17">
        <f>N("Car Insurance")-COUNTIF(Budget!$G$14, A272)*Budget!$F$14</f>
        <v>0</v>
      </c>
      <c r="O272" s="17">
        <f>N("Phone Bill")-COUNTIF(Budget!$G$15, A272)*Budget!$F$15</f>
        <v>0</v>
      </c>
      <c r="Q272" s="17">
        <f>N("Spotify")-IF(AND(DAY($A272)=Budget!$M$3, MONTH($A272)=Budget!$L$3),Budget!$K$3,0)</f>
        <v>0</v>
      </c>
      <c r="R272" s="17">
        <f>N("Spotify")-IF(AND(DAY($A272)=Budget!$M$4, MONTH($A272)=Budget!$L$4),Budget!$K$4,0)</f>
        <v>0</v>
      </c>
      <c r="S272" s="17">
        <f>N("Spotify")-IF(AND(DAY($A272)=Budget!$M$5, MONTH($A272)=Budget!$L$5),Budget!$K$5,0)</f>
        <v>0</v>
      </c>
      <c r="T272" s="17">
        <f>N("Amazon Prime")-IF(DAY(A272)=Budget!$Q$3,Budget!$P$3,0)</f>
        <v>0</v>
      </c>
      <c r="U272" s="17">
        <f>N("Audible")-IF(DAY(A272)=Budget!$Q$12,Budget!$P$12,0)</f>
        <v>0</v>
      </c>
      <c r="V272" s="17">
        <f>N("Crunchyroll")-IF(DAY(A272)=Budget!$Q$5,Budget!$P$5,0)</f>
        <v>0</v>
      </c>
      <c r="W272" s="17">
        <f>N("HBO Max")-IF(DAY(A272)=Budget!$Q$6,Budget!$P$6,0)</f>
        <v>0</v>
      </c>
      <c r="X272" s="17">
        <f>N("Netflix")-IF(DAY(A272)=Budget!$Q$7,Budget!$P$7,0)</f>
        <v>0</v>
      </c>
      <c r="Y272" s="17">
        <f>N("Spotify")-IF(DAY(A272)=Budget!$Q$8,Budget!$P$8,0)</f>
        <v>0</v>
      </c>
      <c r="Z272" s="17">
        <f>N("Truebill")-IF(DAY(A272)=Budget!$Q$9,Budget!$P$9,0)</f>
        <v>0</v>
      </c>
      <c r="AA272" s="6">
        <f t="shared" si="28"/>
        <v>0</v>
      </c>
    </row>
    <row r="275" spans="1:30" x14ac:dyDescent="0.3">
      <c r="D275" s="40" t="s">
        <v>17</v>
      </c>
      <c r="E275" s="41" t="s">
        <v>15</v>
      </c>
      <c r="F275" s="41"/>
      <c r="G275" s="41"/>
      <c r="H275" s="41"/>
      <c r="I275" s="41"/>
      <c r="J275" s="41"/>
      <c r="K275" s="41"/>
      <c r="L275" s="41"/>
      <c r="M275" s="41"/>
      <c r="N275" s="42" t="str">
        <f>Budget!$E$12</f>
        <v>Annual Expenses</v>
      </c>
      <c r="O275" s="42"/>
      <c r="Q275" s="43" t="s">
        <v>36</v>
      </c>
      <c r="R275" s="43"/>
      <c r="S275" s="43"/>
      <c r="T275" s="41" t="s">
        <v>8</v>
      </c>
      <c r="U275" s="41"/>
      <c r="V275" s="41"/>
      <c r="W275" s="41"/>
      <c r="X275" s="41"/>
      <c r="Y275" s="41"/>
      <c r="Z275" s="41"/>
      <c r="AA275" s="10" t="s">
        <v>16</v>
      </c>
      <c r="AC275" s="6">
        <f>SUMIF(D277:Z306,"&lt;0")</f>
        <v>-5553.42</v>
      </c>
      <c r="AD275" s="6">
        <f>SUM(E277:E306)</f>
        <v>5812</v>
      </c>
    </row>
    <row r="276" spans="1:30" x14ac:dyDescent="0.3">
      <c r="A276" s="39">
        <f>EDATE(A241,1)</f>
        <v>45901</v>
      </c>
      <c r="B276" s="39"/>
      <c r="D276" s="40"/>
      <c r="E276" s="18" t="str">
        <f>Budget!$A$3</f>
        <v>PAY-LM</v>
      </c>
      <c r="F276" t="str">
        <f>Budget!$E$3</f>
        <v>Rent</v>
      </c>
      <c r="G276" t="str">
        <f>Budget!$E$4</f>
        <v>Car</v>
      </c>
      <c r="H276" t="str">
        <f>Budget!$E$5</f>
        <v>Mom Rent</v>
      </c>
      <c r="I276" t="str">
        <f>Budget!$E$8</f>
        <v>AT&amp;T</v>
      </c>
      <c r="J276" t="str">
        <f>Budget!$E$9</f>
        <v>GA Power</v>
      </c>
      <c r="K276" t="str">
        <f>Budget!$E$10</f>
        <v>TH</v>
      </c>
      <c r="L276" t="str">
        <f>Budget!$E$6</f>
        <v>Groceries</v>
      </c>
      <c r="M276" s="16" t="str">
        <f>Budget!$E$7</f>
        <v>Savings</v>
      </c>
      <c r="N276" t="str">
        <f>Budget!$E$14</f>
        <v>Car Insurance</v>
      </c>
      <c r="O276" t="str">
        <f>Budget!$E$15</f>
        <v>Phone Bill</v>
      </c>
      <c r="Q276" t="str">
        <f>Budget!$J$3</f>
        <v>Capital One</v>
      </c>
      <c r="R276" t="str">
        <f>Budget!$J$4</f>
        <v>Chase</v>
      </c>
      <c r="S276" t="str">
        <f>Budget!$J$5</f>
        <v>NFCU</v>
      </c>
      <c r="T276" t="str">
        <f>Budget!$O$3</f>
        <v>Amazon Prime</v>
      </c>
      <c r="U276" t="str">
        <f>Budget!$O$12</f>
        <v>Audible</v>
      </c>
      <c r="V276" t="str">
        <f>Budget!$O$5</f>
        <v>Netflix</v>
      </c>
      <c r="W276" t="str">
        <f>Budget!$O$6</f>
        <v>Spotify</v>
      </c>
      <c r="X276" t="str">
        <f>Budget!$O$7</f>
        <v>Rocket Money</v>
      </c>
      <c r="Y276" t="str">
        <f>Budget!$O$8</f>
        <v>Little4Much</v>
      </c>
      <c r="Z276" t="str">
        <f>Budget!$O$9</f>
        <v>None</v>
      </c>
      <c r="AA276" s="10"/>
      <c r="AC276" s="3">
        <f>AD275+AC275</f>
        <v>258.57999999999993</v>
      </c>
    </row>
    <row r="277" spans="1:30" x14ac:dyDescent="0.3">
      <c r="A277" s="4">
        <f>A276</f>
        <v>45901</v>
      </c>
      <c r="B277" s="2">
        <f>B272+AA277</f>
        <v>6269.4</v>
      </c>
      <c r="C277" s="7">
        <f>IF(B277&gt;B272,2,IF(B277=B272, 1,0))</f>
        <v>0</v>
      </c>
      <c r="D277" s="1">
        <v>0</v>
      </c>
      <c r="E277" s="17">
        <f>N("PAY-LM")+IF(WEEKDAY(A277)=Budget!$C$3,Budget!$B$3,0)</f>
        <v>0</v>
      </c>
      <c r="F277" s="17">
        <f>N("Rent")-IF(DAY(A277)=Budget!$G$3,Budget!$F$3,0)</f>
        <v>-1733</v>
      </c>
      <c r="G277" s="17">
        <f>N("Car")-IF(DAY(A277)=Budget!$G$4,Budget!$F$4+Budget!$H$4,0)</f>
        <v>0</v>
      </c>
      <c r="H277" s="17">
        <f>N("Mom Rent")-IF(DAY(A277)=Budget!$G$5,Budget!$F$5,0)</f>
        <v>0</v>
      </c>
      <c r="I277" s="17">
        <f>N("AT&amp;T")-IF(DAY(A277)=Budget!$G$8,Budget!$F$8,0)</f>
        <v>0</v>
      </c>
      <c r="J277" s="17">
        <f>N("GA Power")-IF(DAY(A277)=Budget!$G$9,Budget!$F$9,0)</f>
        <v>0</v>
      </c>
      <c r="K277" s="17">
        <f>N("Haircut")-IF(DAY(A277)=Budget!$G$10,Budget!$F$10,0)</f>
        <v>0</v>
      </c>
      <c r="L277" s="17">
        <f>N("Groceries")-IF(DAY(A277)=Budget!$G$6,Budget!$F$6,0)</f>
        <v>0</v>
      </c>
      <c r="M277" s="17">
        <f>N("Savings")-IF(DAY(A277)=Budget!$G$7,Budget!$F$7,0)</f>
        <v>0</v>
      </c>
      <c r="N277" s="17">
        <f>N("Car Insurance")-COUNTIF(Budget!$G$14, A277)*Budget!$F$14</f>
        <v>0</v>
      </c>
      <c r="O277" s="17">
        <f>N("Phone Bill")-COUNTIF(Budget!$G$15, A277)*Budget!$F$15</f>
        <v>0</v>
      </c>
      <c r="Q277" s="17">
        <f>N("Spotify")-IF(AND(DAY($A277)=Budget!$M$3, MONTH($A277)=Budget!$L$3),Budget!$K$3,0)</f>
        <v>0</v>
      </c>
      <c r="R277" s="17">
        <f>N("Spotify")-IF(AND(DAY($A277)=Budget!$M$4, MONTH($A277)=Budget!$L$4),Budget!$K$4,0)</f>
        <v>0</v>
      </c>
      <c r="S277" s="17">
        <f>N("Spotify")-IF(AND(DAY($A277)=Budget!$M$5, MONTH($A277)=Budget!$L$5),Budget!$K$5,0)</f>
        <v>0</v>
      </c>
      <c r="T277" s="17">
        <f>N("Amazon Prime")-IF(DAY(A277)=Budget!$Q$3,Budget!$P$3,0)</f>
        <v>0</v>
      </c>
      <c r="U277" s="17">
        <f>N("Audible")-IF(DAY(A277)=Budget!$Q$12,Budget!$P$12,0)</f>
        <v>0</v>
      </c>
      <c r="V277" s="17">
        <f>N("Crunchyroll")-IF(DAY(A277)=Budget!$Q$5,Budget!$P$5,0)</f>
        <v>0</v>
      </c>
      <c r="W277" s="17">
        <f>N("HBO Max")-IF(DAY(A277)=Budget!$Q$6,Budget!$P$6,0)</f>
        <v>0</v>
      </c>
      <c r="X277" s="17">
        <f>N("Netflix")-IF(DAY(A277)=Budget!$Q$7,Budget!$P$7,0)</f>
        <v>0</v>
      </c>
      <c r="Y277" s="17">
        <f>N("Spotify")-IF(DAY(A277)=Budget!$Q$8,Budget!$P$8,0)</f>
        <v>0</v>
      </c>
      <c r="Z277" s="17">
        <f>N("Truebill")-IF(DAY(A277)=Budget!$Q$9,Budget!$P$9,0)</f>
        <v>0</v>
      </c>
      <c r="AA277" s="6">
        <f t="shared" ref="AA277:AA306" si="32">SUM(D277:Z277)</f>
        <v>-1733</v>
      </c>
    </row>
    <row r="278" spans="1:30" x14ac:dyDescent="0.3">
      <c r="A278" s="4">
        <f>A277+1</f>
        <v>45902</v>
      </c>
      <c r="B278" s="2">
        <f t="shared" ref="B278:B306" si="33">B277+AA278</f>
        <v>5466.0499999999993</v>
      </c>
      <c r="C278" s="7">
        <f>IF(B278&gt;B277,2,IF(B278=B277, 1,0))</f>
        <v>0</v>
      </c>
      <c r="D278" s="1">
        <v>0</v>
      </c>
      <c r="E278" s="17">
        <f>N("PAY-LM")+IF(WEEKDAY(A278)=Budget!$C$3,Budget!$B$3,0)</f>
        <v>0</v>
      </c>
      <c r="F278" s="17">
        <f>N("Rent")-IF(DAY(A278)=Budget!$G$3,Budget!$F$3,0)</f>
        <v>0</v>
      </c>
      <c r="G278" s="17">
        <f>N("Car")-IF(DAY(A278)=Budget!$G$4,Budget!$F$4+Budget!$H$4,0)</f>
        <v>-503.35</v>
      </c>
      <c r="H278" s="17">
        <f>N("Mom Rent")-IF(DAY(A278)=Budget!$G$5,Budget!$F$5,0)</f>
        <v>0</v>
      </c>
      <c r="I278" s="17">
        <f>N("AT&amp;T")-IF(DAY(A278)=Budget!$G$8,Budget!$F$8,0)</f>
        <v>0</v>
      </c>
      <c r="J278" s="17">
        <f>N("GA Power")-IF(DAY(A278)=Budget!$G$9,Budget!$F$9,0)</f>
        <v>0</v>
      </c>
      <c r="K278" s="17">
        <f>N("Haircut")-IF(DAY(A278)=Budget!$G$10,Budget!$F$10,0)</f>
        <v>0</v>
      </c>
      <c r="L278" s="17">
        <f>N("Groceries")-IF(DAY(A278)=Budget!$G$6,Budget!$F$6,0)</f>
        <v>-300</v>
      </c>
      <c r="M278" s="17">
        <f>N("Savings")-IF(DAY(A278)=Budget!$G$7,Budget!$F$7,0)</f>
        <v>0</v>
      </c>
      <c r="N278" s="17">
        <f>N("Car Insurance")-COUNTIF(Budget!$G$14, A278)*Budget!$F$14</f>
        <v>0</v>
      </c>
      <c r="O278" s="17">
        <f>N("Phone Bill")-COUNTIF(Budget!$G$15, A278)*Budget!$F$15</f>
        <v>0</v>
      </c>
      <c r="Q278" s="17">
        <f>N("Spotify")-IF(AND(DAY($A278)=Budget!$M$3, MONTH($A278)=Budget!$L$3),Budget!$K$3,0)</f>
        <v>0</v>
      </c>
      <c r="R278" s="17">
        <f>N("Spotify")-IF(AND(DAY($A278)=Budget!$M$4, MONTH($A278)=Budget!$L$4),Budget!$K$4,0)</f>
        <v>0</v>
      </c>
      <c r="S278" s="17">
        <f>N("Spotify")-IF(AND(DAY($A278)=Budget!$M$5, MONTH($A278)=Budget!$L$5),Budget!$K$5,0)</f>
        <v>0</v>
      </c>
      <c r="T278" s="17">
        <f>N("Amazon Prime")-IF(DAY(A278)=Budget!$Q$3,Budget!$P$3,0)</f>
        <v>0</v>
      </c>
      <c r="U278" s="17">
        <f>N("Audible")-IF(DAY(A278)=Budget!$Q$12,Budget!$P$12,0)</f>
        <v>0</v>
      </c>
      <c r="V278" s="17">
        <f>N("Crunchyroll")-IF(DAY(A278)=Budget!$Q$5,Budget!$P$5,0)</f>
        <v>0</v>
      </c>
      <c r="W278" s="17">
        <f>N("HBO Max")-IF(DAY(A278)=Budget!$Q$6,Budget!$P$6,0)</f>
        <v>0</v>
      </c>
      <c r="X278" s="17">
        <f>N("Netflix")-IF(DAY(A278)=Budget!$Q$7,Budget!$P$7,0)</f>
        <v>0</v>
      </c>
      <c r="Y278" s="17">
        <f>N("Spotify")-IF(DAY(A278)=Budget!$Q$8,Budget!$P$8,0)</f>
        <v>0</v>
      </c>
      <c r="Z278" s="17">
        <f>N("Truebill")-IF(DAY(A278)=Budget!$Q$9,Budget!$P$9,0)</f>
        <v>0</v>
      </c>
      <c r="AA278" s="6">
        <f t="shared" si="32"/>
        <v>-803.35</v>
      </c>
    </row>
    <row r="279" spans="1:30" x14ac:dyDescent="0.3">
      <c r="A279" s="4">
        <f t="shared" ref="A279:A306" si="34">A278+1</f>
        <v>45903</v>
      </c>
      <c r="B279" s="2">
        <f t="shared" si="33"/>
        <v>5466.0499999999993</v>
      </c>
      <c r="C279" s="7">
        <f t="shared" ref="C279:C304" si="35">IF(B279&gt;B278,2,IF(B279=B278, 1,0))</f>
        <v>1</v>
      </c>
      <c r="D279" s="1">
        <v>0</v>
      </c>
      <c r="E279" s="17">
        <f>N("PAY-LM")+IF(WEEKDAY(A279)=Budget!$C$3,Budget!$B$3,0)</f>
        <v>0</v>
      </c>
      <c r="F279" s="17">
        <f>N("Rent")-IF(DAY(A279)=Budget!$G$3,Budget!$F$3,0)</f>
        <v>0</v>
      </c>
      <c r="G279" s="17">
        <f>N("Car")-IF(DAY(A279)=Budget!$G$4,Budget!$F$4+Budget!$H$4,0)</f>
        <v>0</v>
      </c>
      <c r="H279" s="17">
        <f>N("Mom Rent")-IF(DAY(A279)=Budget!$G$5,Budget!$F$5,0)</f>
        <v>0</v>
      </c>
      <c r="I279" s="17">
        <f>N("AT&amp;T")-IF(DAY(A279)=Budget!$G$8,Budget!$F$8,0)</f>
        <v>0</v>
      </c>
      <c r="J279" s="17">
        <f>N("GA Power")-IF(DAY(A279)=Budget!$G$9,Budget!$F$9,0)</f>
        <v>0</v>
      </c>
      <c r="K279" s="17">
        <f>N("Haircut")-IF(DAY(A279)=Budget!$G$10,Budget!$F$10,0)</f>
        <v>0</v>
      </c>
      <c r="L279" s="17">
        <f>N("Groceries")-IF(DAY(A279)=Budget!$G$6,Budget!$F$6,0)</f>
        <v>0</v>
      </c>
      <c r="M279" s="17">
        <f>N("Savings")-IF(DAY(A279)=Budget!$G$7,Budget!$F$7,0)</f>
        <v>0</v>
      </c>
      <c r="N279" s="17">
        <f>N("Car Insurance")-COUNTIF(Budget!$G$14, A279)*Budget!$F$14</f>
        <v>0</v>
      </c>
      <c r="O279" s="17">
        <f>N("Phone Bill")-COUNTIF(Budget!$G$15, A279)*Budget!$F$15</f>
        <v>0</v>
      </c>
      <c r="Q279" s="17">
        <f>N("Spotify")-IF(AND(DAY($A279)=Budget!$M$3, MONTH($A279)=Budget!$L$3),Budget!$K$3,0)</f>
        <v>0</v>
      </c>
      <c r="R279" s="17">
        <f>N("Spotify")-IF(AND(DAY($A279)=Budget!$M$4, MONTH($A279)=Budget!$L$4),Budget!$K$4,0)</f>
        <v>0</v>
      </c>
      <c r="S279" s="17">
        <f>N("Spotify")-IF(AND(DAY($A279)=Budget!$M$5, MONTH($A279)=Budget!$L$5),Budget!$K$5,0)</f>
        <v>0</v>
      </c>
      <c r="T279" s="17">
        <f>N("Amazon Prime")-IF(DAY(A279)=Budget!$Q$3,Budget!$P$3,0)</f>
        <v>0</v>
      </c>
      <c r="U279" s="17">
        <f>N("Audible")-IF(DAY(A279)=Budget!$Q$12,Budget!$P$12,0)</f>
        <v>0</v>
      </c>
      <c r="V279" s="17">
        <f>N("Crunchyroll")-IF(DAY(A279)=Budget!$Q$5,Budget!$P$5,0)</f>
        <v>0</v>
      </c>
      <c r="W279" s="17">
        <f>N("HBO Max")-IF(DAY(A279)=Budget!$Q$6,Budget!$P$6,0)</f>
        <v>0</v>
      </c>
      <c r="X279" s="17">
        <f>N("Netflix")-IF(DAY(A279)=Budget!$Q$7,Budget!$P$7,0)</f>
        <v>0</v>
      </c>
      <c r="Y279" s="17">
        <f>N("Spotify")-IF(DAY(A279)=Budget!$Q$8,Budget!$P$8,0)</f>
        <v>0</v>
      </c>
      <c r="Z279" s="17">
        <f>N("Truebill")-IF(DAY(A279)=Budget!$Q$9,Budget!$P$9,0)</f>
        <v>0</v>
      </c>
      <c r="AA279" s="6">
        <f t="shared" si="32"/>
        <v>0</v>
      </c>
    </row>
    <row r="280" spans="1:30" x14ac:dyDescent="0.3">
      <c r="A280" s="4">
        <f t="shared" si="34"/>
        <v>45904</v>
      </c>
      <c r="B280" s="2">
        <f t="shared" si="33"/>
        <v>5466.0499999999993</v>
      </c>
      <c r="C280" s="7">
        <f t="shared" si="35"/>
        <v>1</v>
      </c>
      <c r="D280" s="1">
        <v>0</v>
      </c>
      <c r="E280" s="17">
        <f>N("PAY-LM")+IF(WEEKDAY(A280)=Budget!$C$3,Budget!$B$3,0)</f>
        <v>0</v>
      </c>
      <c r="F280" s="17">
        <f>N("Rent")-IF(DAY(A280)=Budget!$G$3,Budget!$F$3,0)</f>
        <v>0</v>
      </c>
      <c r="G280" s="17">
        <f>N("Car")-IF(DAY(A280)=Budget!$G$4,Budget!$F$4+Budget!$H$4,0)</f>
        <v>0</v>
      </c>
      <c r="H280" s="17">
        <f>N("Mom Rent")-IF(DAY(A280)=Budget!$G$5,Budget!$F$5,0)</f>
        <v>0</v>
      </c>
      <c r="I280" s="17">
        <f>N("AT&amp;T")-IF(DAY(A280)=Budget!$G$8,Budget!$F$8,0)</f>
        <v>0</v>
      </c>
      <c r="J280" s="17">
        <f>N("GA Power")-IF(DAY(A280)=Budget!$G$9,Budget!$F$9,0)</f>
        <v>0</v>
      </c>
      <c r="K280" s="17">
        <f>N("Haircut")-IF(DAY(A280)=Budget!$G$10,Budget!$F$10,0)</f>
        <v>0</v>
      </c>
      <c r="L280" s="17">
        <f>N("Groceries")-IF(DAY(A280)=Budget!$G$6,Budget!$F$6,0)</f>
        <v>0</v>
      </c>
      <c r="M280" s="17">
        <f>N("Savings")-IF(DAY(A280)=Budget!$G$7,Budget!$F$7,0)</f>
        <v>0</v>
      </c>
      <c r="N280" s="17">
        <f>N("Car Insurance")-COUNTIF(Budget!$G$14, A280)*Budget!$F$14</f>
        <v>0</v>
      </c>
      <c r="O280" s="17">
        <f>N("Phone Bill")-COUNTIF(Budget!$G$15, A280)*Budget!$F$15</f>
        <v>0</v>
      </c>
      <c r="Q280" s="17">
        <f>N("Spotify")-IF(AND(DAY($A280)=Budget!$M$3, MONTH($A280)=Budget!$L$3),Budget!$K$3,0)</f>
        <v>0</v>
      </c>
      <c r="R280" s="17">
        <f>N("Spotify")-IF(AND(DAY($A280)=Budget!$M$4, MONTH($A280)=Budget!$L$4),Budget!$K$4,0)</f>
        <v>0</v>
      </c>
      <c r="S280" s="17">
        <f>N("Spotify")-IF(AND(DAY($A280)=Budget!$M$5, MONTH($A280)=Budget!$L$5),Budget!$K$5,0)</f>
        <v>0</v>
      </c>
      <c r="T280" s="17">
        <f>N("Amazon Prime")-IF(DAY(A280)=Budget!$Q$3,Budget!$P$3,0)</f>
        <v>0</v>
      </c>
      <c r="U280" s="17">
        <f>N("Audible")-IF(DAY(A280)=Budget!$Q$12,Budget!$P$12,0)</f>
        <v>0</v>
      </c>
      <c r="V280" s="17">
        <f>N("Crunchyroll")-IF(DAY(A280)=Budget!$Q$5,Budget!$P$5,0)</f>
        <v>0</v>
      </c>
      <c r="W280" s="17">
        <f>N("HBO Max")-IF(DAY(A280)=Budget!$Q$6,Budget!$P$6,0)</f>
        <v>0</v>
      </c>
      <c r="X280" s="17">
        <f>N("Netflix")-IF(DAY(A280)=Budget!$Q$7,Budget!$P$7,0)</f>
        <v>0</v>
      </c>
      <c r="Y280" s="17">
        <f>N("Spotify")-IF(DAY(A280)=Budget!$Q$8,Budget!$P$8,0)</f>
        <v>0</v>
      </c>
      <c r="Z280" s="17">
        <f>N("Truebill")-IF(DAY(A280)=Budget!$Q$9,Budget!$P$9,0)</f>
        <v>0</v>
      </c>
      <c r="AA280" s="6">
        <f t="shared" si="32"/>
        <v>0</v>
      </c>
    </row>
    <row r="281" spans="1:30" x14ac:dyDescent="0.3">
      <c r="A281" s="4">
        <f t="shared" si="34"/>
        <v>45905</v>
      </c>
      <c r="B281" s="2">
        <f t="shared" si="33"/>
        <v>6849.0499999999993</v>
      </c>
      <c r="C281" s="7">
        <f t="shared" si="35"/>
        <v>2</v>
      </c>
      <c r="D281" s="1">
        <v>0</v>
      </c>
      <c r="E281" s="17">
        <f>N("PAY-LM")+IF(WEEKDAY(A281)=Budget!$C$3,Budget!$B$3,0)</f>
        <v>1453</v>
      </c>
      <c r="F281" s="17">
        <f>N("Rent")-IF(DAY(A281)=Budget!$G$3,Budget!$F$3,0)</f>
        <v>0</v>
      </c>
      <c r="G281" s="17">
        <f>N("Car")-IF(DAY(A281)=Budget!$G$4,Budget!$F$4+Budget!$H$4,0)</f>
        <v>0</v>
      </c>
      <c r="H281" s="17">
        <f>N("Mom Rent")-IF(DAY(A281)=Budget!$G$5,Budget!$F$5,0)</f>
        <v>0</v>
      </c>
      <c r="I281" s="17">
        <f>N("AT&amp;T")-IF(DAY(A281)=Budget!$G$8,Budget!$F$8,0)</f>
        <v>0</v>
      </c>
      <c r="J281" s="17">
        <f>N("GA Power")-IF(DAY(A281)=Budget!$G$9,Budget!$F$9,0)</f>
        <v>-70</v>
      </c>
      <c r="K281" s="17">
        <f>N("Haircut")-IF(DAY(A281)=Budget!$G$10,Budget!$F$10,0)</f>
        <v>0</v>
      </c>
      <c r="L281" s="17">
        <f>N("Groceries")-IF(DAY(A281)=Budget!$G$6,Budget!$F$6,0)</f>
        <v>0</v>
      </c>
      <c r="M281" s="17">
        <f>N("Savings")-IF(DAY(A281)=Budget!$G$7,Budget!$F$7,0)</f>
        <v>0</v>
      </c>
      <c r="N281" s="17">
        <f>N("Car Insurance")-COUNTIF(Budget!$G$14, A281)*Budget!$F$14</f>
        <v>0</v>
      </c>
      <c r="O281" s="17">
        <f>N("Phone Bill")-COUNTIF(Budget!$G$15, A281)*Budget!$F$15</f>
        <v>0</v>
      </c>
      <c r="Q281" s="17">
        <f>N("Spotify")-IF(AND(DAY($A281)=Budget!$M$3, MONTH($A281)=Budget!$L$3),Budget!$K$3,0)</f>
        <v>0</v>
      </c>
      <c r="R281" s="17">
        <f>N("Spotify")-IF(AND(DAY($A281)=Budget!$M$4, MONTH($A281)=Budget!$L$4),Budget!$K$4,0)</f>
        <v>0</v>
      </c>
      <c r="S281" s="17">
        <f>N("Spotify")-IF(AND(DAY($A281)=Budget!$M$5, MONTH($A281)=Budget!$L$5),Budget!$K$5,0)</f>
        <v>0</v>
      </c>
      <c r="T281" s="17">
        <f>N("Amazon Prime")-IF(DAY(A281)=Budget!$Q$3,Budget!$P$3,0)</f>
        <v>0</v>
      </c>
      <c r="U281" s="17">
        <f>N("Audible")-IF(DAY(A281)=Budget!$Q$12,Budget!$P$12,0)</f>
        <v>0</v>
      </c>
      <c r="V281" s="17">
        <f>N("Crunchyroll")-IF(DAY(A281)=Budget!$Q$5,Budget!$P$5,0)</f>
        <v>0</v>
      </c>
      <c r="W281" s="17">
        <f>N("HBO Max")-IF(DAY(A281)=Budget!$Q$6,Budget!$P$6,0)</f>
        <v>0</v>
      </c>
      <c r="X281" s="17">
        <f>N("Netflix")-IF(DAY(A281)=Budget!$Q$7,Budget!$P$7,0)</f>
        <v>0</v>
      </c>
      <c r="Y281" s="17">
        <f>N("Spotify")-IF(DAY(A281)=Budget!$Q$8,Budget!$P$8,0)</f>
        <v>0</v>
      </c>
      <c r="Z281" s="17">
        <f>N("Truebill")-IF(DAY(A281)=Budget!$Q$9,Budget!$P$9,0)</f>
        <v>0</v>
      </c>
      <c r="AA281" s="6">
        <f t="shared" si="32"/>
        <v>1383</v>
      </c>
    </row>
    <row r="282" spans="1:30" x14ac:dyDescent="0.3">
      <c r="A282" s="4">
        <f t="shared" si="34"/>
        <v>45906</v>
      </c>
      <c r="B282" s="2">
        <f t="shared" si="33"/>
        <v>6849.0499999999993</v>
      </c>
      <c r="C282" s="7">
        <f t="shared" si="35"/>
        <v>1</v>
      </c>
      <c r="D282" s="1">
        <v>0</v>
      </c>
      <c r="E282" s="17">
        <f>N("PAY-LM")+IF(WEEKDAY(A282)=Budget!$C$3,Budget!$B$3,0)</f>
        <v>0</v>
      </c>
      <c r="F282" s="17">
        <f>N("Rent")-IF(DAY(A282)=Budget!$G$3,Budget!$F$3,0)</f>
        <v>0</v>
      </c>
      <c r="G282" s="17">
        <f>N("Car")-IF(DAY(A282)=Budget!$G$4,Budget!$F$4+Budget!$H$4,0)</f>
        <v>0</v>
      </c>
      <c r="H282" s="17">
        <f>N("Mom Rent")-IF(DAY(A282)=Budget!$G$5,Budget!$F$5,0)</f>
        <v>0</v>
      </c>
      <c r="I282" s="17">
        <f>N("AT&amp;T")-IF(DAY(A282)=Budget!$G$8,Budget!$F$8,0)</f>
        <v>0</v>
      </c>
      <c r="J282" s="17">
        <f>N("GA Power")-IF(DAY(A282)=Budget!$G$9,Budget!$F$9,0)</f>
        <v>0</v>
      </c>
      <c r="K282" s="17">
        <f>N("Haircut")-IF(DAY(A282)=Budget!$G$10,Budget!$F$10,0)</f>
        <v>0</v>
      </c>
      <c r="L282" s="17">
        <f>N("Groceries")-IF(DAY(A282)=Budget!$G$6,Budget!$F$6,0)</f>
        <v>0</v>
      </c>
      <c r="M282" s="17">
        <f>N("Savings")-IF(DAY(A282)=Budget!$G$7,Budget!$F$7,0)</f>
        <v>0</v>
      </c>
      <c r="N282" s="17">
        <f>N("Car Insurance")-COUNTIF(Budget!$G$14, A282)*Budget!$F$14</f>
        <v>0</v>
      </c>
      <c r="O282" s="17">
        <f>N("Phone Bill")-COUNTIF(Budget!$G$15, A282)*Budget!$F$15</f>
        <v>0</v>
      </c>
      <c r="Q282" s="17">
        <f>N("Spotify")-IF(AND(DAY($A282)=Budget!$M$3, MONTH($A282)=Budget!$L$3),Budget!$K$3,0)</f>
        <v>0</v>
      </c>
      <c r="R282" s="17">
        <f>N("Spotify")-IF(AND(DAY($A282)=Budget!$M$4, MONTH($A282)=Budget!$L$4),Budget!$K$4,0)</f>
        <v>0</v>
      </c>
      <c r="S282" s="17">
        <f>N("Spotify")-IF(AND(DAY($A282)=Budget!$M$5, MONTH($A282)=Budget!$L$5),Budget!$K$5,0)</f>
        <v>0</v>
      </c>
      <c r="T282" s="17">
        <f>N("Amazon Prime")-IF(DAY(A282)=Budget!$Q$3,Budget!$P$3,0)</f>
        <v>0</v>
      </c>
      <c r="U282" s="17">
        <f>N("Audible")-IF(DAY(A282)=Budget!$Q$12,Budget!$P$12,0)</f>
        <v>0</v>
      </c>
      <c r="V282" s="17">
        <f>N("Crunchyroll")-IF(DAY(A282)=Budget!$Q$5,Budget!$P$5,0)</f>
        <v>0</v>
      </c>
      <c r="W282" s="17">
        <f>N("HBO Max")-IF(DAY(A282)=Budget!$Q$6,Budget!$P$6,0)</f>
        <v>0</v>
      </c>
      <c r="X282" s="17">
        <f>N("Netflix")-IF(DAY(A282)=Budget!$Q$7,Budget!$P$7,0)</f>
        <v>0</v>
      </c>
      <c r="Y282" s="17">
        <f>N("Spotify")-IF(DAY(A282)=Budget!$Q$8,Budget!$P$8,0)</f>
        <v>0</v>
      </c>
      <c r="Z282" s="17">
        <f>N("Truebill")-IF(DAY(A282)=Budget!$Q$9,Budget!$P$9,0)</f>
        <v>0</v>
      </c>
      <c r="AA282" s="6">
        <f t="shared" si="32"/>
        <v>0</v>
      </c>
    </row>
    <row r="283" spans="1:30" x14ac:dyDescent="0.3">
      <c r="A283" s="4">
        <f t="shared" si="34"/>
        <v>45907</v>
      </c>
      <c r="B283" s="2">
        <f t="shared" si="33"/>
        <v>6849.0499999999993</v>
      </c>
      <c r="C283" s="7">
        <f t="shared" si="35"/>
        <v>1</v>
      </c>
      <c r="D283" s="1">
        <v>0</v>
      </c>
      <c r="E283" s="17">
        <f>N("PAY-LM")+IF(WEEKDAY(A283)=Budget!$C$3,Budget!$B$3,0)</f>
        <v>0</v>
      </c>
      <c r="F283" s="17">
        <f>N("Rent")-IF(DAY(A283)=Budget!$G$3,Budget!$F$3,0)</f>
        <v>0</v>
      </c>
      <c r="G283" s="17">
        <f>N("Car")-IF(DAY(A283)=Budget!$G$4,Budget!$F$4+Budget!$H$4,0)</f>
        <v>0</v>
      </c>
      <c r="H283" s="17">
        <f>N("Mom Rent")-IF(DAY(A283)=Budget!$G$5,Budget!$F$5,0)</f>
        <v>0</v>
      </c>
      <c r="I283" s="17">
        <f>N("AT&amp;T")-IF(DAY(A283)=Budget!$G$8,Budget!$F$8,0)</f>
        <v>0</v>
      </c>
      <c r="J283" s="17">
        <f>N("GA Power")-IF(DAY(A283)=Budget!$G$9,Budget!$F$9,0)</f>
        <v>0</v>
      </c>
      <c r="K283" s="17">
        <f>N("Haircut")-IF(DAY(A283)=Budget!$G$10,Budget!$F$10,0)</f>
        <v>0</v>
      </c>
      <c r="L283" s="17">
        <f>N("Groceries")-IF(DAY(A283)=Budget!$G$6,Budget!$F$6,0)</f>
        <v>0</v>
      </c>
      <c r="M283" s="17">
        <f>N("Savings")-IF(DAY(A283)=Budget!$G$7,Budget!$F$7,0)</f>
        <v>0</v>
      </c>
      <c r="N283" s="17">
        <f>N("Car Insurance")-COUNTIF(Budget!$G$14, A283)*Budget!$F$14</f>
        <v>0</v>
      </c>
      <c r="O283" s="17">
        <f>N("Phone Bill")-COUNTIF(Budget!$G$15, A283)*Budget!$F$15</f>
        <v>0</v>
      </c>
      <c r="Q283" s="17">
        <f>N("Spotify")-IF(AND(DAY($A283)=Budget!$M$3, MONTH($A283)=Budget!$L$3),Budget!$K$3,0)</f>
        <v>0</v>
      </c>
      <c r="R283" s="17">
        <f>N("Spotify")-IF(AND(DAY($A283)=Budget!$M$4, MONTH($A283)=Budget!$L$4),Budget!$K$4,0)</f>
        <v>0</v>
      </c>
      <c r="S283" s="17">
        <f>N("Spotify")-IF(AND(DAY($A283)=Budget!$M$5, MONTH($A283)=Budget!$L$5),Budget!$K$5,0)</f>
        <v>0</v>
      </c>
      <c r="T283" s="17">
        <f>N("Amazon Prime")-IF(DAY(A283)=Budget!$Q$3,Budget!$P$3,0)</f>
        <v>0</v>
      </c>
      <c r="U283" s="17">
        <f>N("Audible")-IF(DAY(A283)=Budget!$Q$12,Budget!$P$12,0)</f>
        <v>0</v>
      </c>
      <c r="V283" s="17">
        <f>N("Crunchyroll")-IF(DAY(A283)=Budget!$Q$5,Budget!$P$5,0)</f>
        <v>0</v>
      </c>
      <c r="W283" s="17">
        <f>N("HBO Max")-IF(DAY(A283)=Budget!$Q$6,Budget!$P$6,0)</f>
        <v>0</v>
      </c>
      <c r="X283" s="17">
        <f>N("Netflix")-IF(DAY(A283)=Budget!$Q$7,Budget!$P$7,0)</f>
        <v>0</v>
      </c>
      <c r="Y283" s="17">
        <f>N("Spotify")-IF(DAY(A283)=Budget!$Q$8,Budget!$P$8,0)</f>
        <v>0</v>
      </c>
      <c r="Z283" s="17">
        <f>N("Truebill")-IF(DAY(A283)=Budget!$Q$9,Budget!$P$9,0)</f>
        <v>0</v>
      </c>
      <c r="AA283" s="6">
        <f t="shared" si="32"/>
        <v>0</v>
      </c>
    </row>
    <row r="284" spans="1:30" x14ac:dyDescent="0.3">
      <c r="A284" s="4">
        <f t="shared" si="34"/>
        <v>45908</v>
      </c>
      <c r="B284" s="2">
        <f>4427.46</f>
        <v>4427.46</v>
      </c>
      <c r="C284" s="7">
        <f t="shared" si="35"/>
        <v>0</v>
      </c>
      <c r="D284" s="1">
        <v>0</v>
      </c>
      <c r="E284" s="17">
        <f>N("PAY-LM")+IF(WEEKDAY(A284)=Budget!$C$3,Budget!$B$3,0)</f>
        <v>0</v>
      </c>
      <c r="F284" s="17">
        <f>N("Rent")-IF(DAY(A284)=Budget!$G$3,Budget!$F$3,0)</f>
        <v>0</v>
      </c>
      <c r="G284" s="17">
        <f>N("Car")-IF(DAY(A284)=Budget!$G$4,Budget!$F$4+Budget!$H$4,0)</f>
        <v>0</v>
      </c>
      <c r="H284" s="17">
        <f>N("Mom Rent")-IF(DAY(A284)=Budget!$G$5,Budget!$F$5,0)</f>
        <v>0</v>
      </c>
      <c r="I284" s="17">
        <f>N("AT&amp;T")-IF(DAY(A284)=Budget!$G$8,Budget!$F$8,0)</f>
        <v>0</v>
      </c>
      <c r="J284" s="17">
        <f>N("GA Power")-IF(DAY(A284)=Budget!$G$9,Budget!$F$9,0)</f>
        <v>0</v>
      </c>
      <c r="K284" s="17">
        <f>N("Haircut")-IF(DAY(A284)=Budget!$G$10,Budget!$F$10,0)</f>
        <v>0</v>
      </c>
      <c r="L284" s="17">
        <f>N("Groceries")-IF(DAY(A284)=Budget!$G$6,Budget!$F$6,0)</f>
        <v>0</v>
      </c>
      <c r="M284" s="17">
        <f>N("Savings")-IF(DAY(A284)=Budget!$G$7,Budget!$F$7,0)</f>
        <v>0</v>
      </c>
      <c r="N284" s="17">
        <f>N("Car Insurance")-COUNTIF(Budget!$G$14, A284)*Budget!$F$14</f>
        <v>0</v>
      </c>
      <c r="O284" s="17">
        <f>N("Phone Bill")-COUNTIF(Budget!$G$15, A284)*Budget!$F$15</f>
        <v>0</v>
      </c>
      <c r="Q284" s="17">
        <f>N("Spotify")-IF(AND(DAY($A284)=Budget!$M$3, MONTH($A284)=Budget!$L$3),Budget!$K$3,0)</f>
        <v>0</v>
      </c>
      <c r="R284" s="17">
        <f>N("Spotify")-IF(AND(DAY($A284)=Budget!$M$4, MONTH($A284)=Budget!$L$4),Budget!$K$4,0)</f>
        <v>0</v>
      </c>
      <c r="S284" s="17">
        <f>N("Spotify")-IF(AND(DAY($A284)=Budget!$M$5, MONTH($A284)=Budget!$L$5),Budget!$K$5,0)</f>
        <v>0</v>
      </c>
      <c r="T284" s="17">
        <f>N("Amazon Prime")-IF(DAY(A284)=Budget!$Q$3,Budget!$P$3,0)</f>
        <v>-7.48</v>
      </c>
      <c r="U284" s="17">
        <f>N("Audible")-IF(DAY(A284)=Budget!$Q$12,Budget!$P$12,0)</f>
        <v>0</v>
      </c>
      <c r="V284" s="17">
        <f>N("Crunchyroll")-IF(DAY(A284)=Budget!$Q$5,Budget!$P$5,0)</f>
        <v>0</v>
      </c>
      <c r="W284" s="17">
        <f>N("HBO Max")-IF(DAY(A284)=Budget!$Q$6,Budget!$P$6,0)</f>
        <v>-11.99</v>
      </c>
      <c r="X284" s="17">
        <f>N("Netflix")-IF(DAY(A284)=Budget!$Q$7,Budget!$P$7,0)</f>
        <v>0</v>
      </c>
      <c r="Y284" s="17">
        <f>N("Spotify")-IF(DAY(A284)=Budget!$Q$8,Budget!$P$8,0)</f>
        <v>0</v>
      </c>
      <c r="Z284" s="17">
        <f>N("Truebill")-IF(DAY(A284)=Budget!$Q$9,Budget!$P$9,0)</f>
        <v>0</v>
      </c>
      <c r="AA284" s="6">
        <f t="shared" si="32"/>
        <v>-19.47</v>
      </c>
    </row>
    <row r="285" spans="1:30" x14ac:dyDescent="0.3">
      <c r="A285" s="4">
        <f t="shared" si="34"/>
        <v>45909</v>
      </c>
      <c r="B285" s="2">
        <f t="shared" si="33"/>
        <v>4427.46</v>
      </c>
      <c r="C285" s="7">
        <f t="shared" si="35"/>
        <v>1</v>
      </c>
      <c r="D285" s="1">
        <v>0</v>
      </c>
      <c r="E285" s="17">
        <f>N("PAY-LM")+IF(WEEKDAY(A285)=Budget!$C$3,Budget!$B$3,0)</f>
        <v>0</v>
      </c>
      <c r="F285" s="17">
        <f>N("Rent")-IF(DAY(A285)=Budget!$G$3,Budget!$F$3,0)</f>
        <v>0</v>
      </c>
      <c r="G285" s="17">
        <f>N("Car")-IF(DAY(A285)=Budget!$G$4,Budget!$F$4+Budget!$H$4,0)</f>
        <v>0</v>
      </c>
      <c r="H285" s="17">
        <f>N("Mom Rent")-IF(DAY(A285)=Budget!$G$5,Budget!$F$5,0)</f>
        <v>0</v>
      </c>
      <c r="I285" s="17">
        <f>N("AT&amp;T")-IF(DAY(A285)=Budget!$G$8,Budget!$F$8,0)</f>
        <v>0</v>
      </c>
      <c r="J285" s="17">
        <f>N("GA Power")-IF(DAY(A285)=Budget!$G$9,Budget!$F$9,0)</f>
        <v>0</v>
      </c>
      <c r="K285" s="17">
        <f>N("Haircut")-IF(DAY(A285)=Budget!$G$10,Budget!$F$10,0)</f>
        <v>0</v>
      </c>
      <c r="L285" s="17">
        <f>N("Groceries")-IF(DAY(A285)=Budget!$G$6,Budget!$F$6,0)</f>
        <v>0</v>
      </c>
      <c r="M285" s="17">
        <f>N("Savings")-IF(DAY(A285)=Budget!$G$7,Budget!$F$7,0)</f>
        <v>0</v>
      </c>
      <c r="N285" s="17">
        <f>N("Car Insurance")-COUNTIF(Budget!$G$14, A285)*Budget!$F$14</f>
        <v>0</v>
      </c>
      <c r="O285" s="17">
        <f>N("Phone Bill")-COUNTIF(Budget!$G$15, A285)*Budget!$F$15</f>
        <v>0</v>
      </c>
      <c r="Q285" s="17">
        <f>N("Spotify")-IF(AND(DAY($A285)=Budget!$M$3, MONTH($A285)=Budget!$L$3),Budget!$K$3,0)</f>
        <v>0</v>
      </c>
      <c r="R285" s="17">
        <f>N("Spotify")-IF(AND(DAY($A285)=Budget!$M$4, MONTH($A285)=Budget!$L$4),Budget!$K$4,0)</f>
        <v>0</v>
      </c>
      <c r="S285" s="17">
        <f>N("Spotify")-IF(AND(DAY($A285)=Budget!$M$5, MONTH($A285)=Budget!$L$5),Budget!$K$5,0)</f>
        <v>0</v>
      </c>
      <c r="T285" s="17">
        <f>N("Amazon Prime")-IF(DAY(A285)=Budget!$Q$3,Budget!$P$3,0)</f>
        <v>0</v>
      </c>
      <c r="U285" s="17">
        <f>N("Audible")-IF(DAY(A285)=Budget!$Q$12,Budget!$P$12,0)</f>
        <v>0</v>
      </c>
      <c r="V285" s="17">
        <f>N("Crunchyroll")-IF(DAY(A285)=Budget!$Q$5,Budget!$P$5,0)</f>
        <v>0</v>
      </c>
      <c r="W285" s="17">
        <f>N("HBO Max")-IF(DAY(A285)=Budget!$Q$6,Budget!$P$6,0)</f>
        <v>0</v>
      </c>
      <c r="X285" s="17">
        <f>N("Netflix")-IF(DAY(A285)=Budget!$Q$7,Budget!$P$7,0)</f>
        <v>0</v>
      </c>
      <c r="Y285" s="17">
        <f>N("Spotify")-IF(DAY(A285)=Budget!$Q$8,Budget!$P$8,0)</f>
        <v>0</v>
      </c>
      <c r="Z285" s="17">
        <f>N("Truebill")-IF(DAY(A285)=Budget!$Q$9,Budget!$P$9,0)</f>
        <v>0</v>
      </c>
      <c r="AA285" s="6">
        <f t="shared" si="32"/>
        <v>0</v>
      </c>
    </row>
    <row r="286" spans="1:30" x14ac:dyDescent="0.3">
      <c r="A286" s="4">
        <f t="shared" si="34"/>
        <v>45910</v>
      </c>
      <c r="B286" s="2">
        <f t="shared" si="33"/>
        <v>4427.46</v>
      </c>
      <c r="C286" s="7">
        <f t="shared" si="35"/>
        <v>1</v>
      </c>
      <c r="D286" s="1">
        <v>0</v>
      </c>
      <c r="E286" s="17">
        <f>N("PAY-LM")+IF(WEEKDAY(A286)=Budget!$C$3,Budget!$B$3,0)</f>
        <v>0</v>
      </c>
      <c r="F286" s="17">
        <f>N("Rent")-IF(DAY(A286)=Budget!$G$3,Budget!$F$3,0)</f>
        <v>0</v>
      </c>
      <c r="G286" s="17">
        <f>N("Car")-IF(DAY(A286)=Budget!$G$4,Budget!$F$4+Budget!$H$4,0)</f>
        <v>0</v>
      </c>
      <c r="H286" s="17">
        <f>N("Mom Rent")-IF(DAY(A286)=Budget!$G$5,Budget!$F$5,0)</f>
        <v>0</v>
      </c>
      <c r="I286" s="17">
        <f>N("AT&amp;T")-IF(DAY(A286)=Budget!$G$8,Budget!$F$8,0)</f>
        <v>0</v>
      </c>
      <c r="J286" s="17">
        <f>N("GA Power")-IF(DAY(A286)=Budget!$G$9,Budget!$F$9,0)</f>
        <v>0</v>
      </c>
      <c r="K286" s="17">
        <f>N("Haircut")-IF(DAY(A286)=Budget!$G$10,Budget!$F$10,0)</f>
        <v>0</v>
      </c>
      <c r="L286" s="17">
        <f>N("Groceries")-IF(DAY(A286)=Budget!$G$6,Budget!$F$6,0)</f>
        <v>0</v>
      </c>
      <c r="M286" s="17">
        <f>N("Savings")-IF(DAY(A286)=Budget!$G$7,Budget!$F$7,0)</f>
        <v>0</v>
      </c>
      <c r="N286" s="17">
        <f>N("Car Insurance")-COUNTIF(Budget!$G$14, A286)*Budget!$F$14</f>
        <v>0</v>
      </c>
      <c r="O286" s="17">
        <f>N("Phone Bill")-COUNTIF(Budget!$G$15, A286)*Budget!$F$15</f>
        <v>0</v>
      </c>
      <c r="Q286" s="17">
        <f>N("Spotify")-IF(AND(DAY($A286)=Budget!$M$3, MONTH($A286)=Budget!$L$3),Budget!$K$3,0)</f>
        <v>0</v>
      </c>
      <c r="R286" s="17">
        <f>N("Spotify")-IF(AND(DAY($A286)=Budget!$M$4, MONTH($A286)=Budget!$L$4),Budget!$K$4,0)</f>
        <v>0</v>
      </c>
      <c r="S286" s="17">
        <f>N("Spotify")-IF(AND(DAY($A286)=Budget!$M$5, MONTH($A286)=Budget!$L$5),Budget!$K$5,0)</f>
        <v>0</v>
      </c>
      <c r="T286" s="17">
        <f>N("Amazon Prime")-IF(DAY(A286)=Budget!$Q$3,Budget!$P$3,0)</f>
        <v>0</v>
      </c>
      <c r="U286" s="17">
        <f>N("Audible")-IF(DAY(A286)=Budget!$Q$12,Budget!$P$12,0)</f>
        <v>0</v>
      </c>
      <c r="V286" s="17">
        <f>N("Crunchyroll")-IF(DAY(A286)=Budget!$Q$5,Budget!$P$5,0)</f>
        <v>0</v>
      </c>
      <c r="W286" s="17">
        <f>N("HBO Max")-IF(DAY(A286)=Budget!$Q$6,Budget!$P$6,0)</f>
        <v>0</v>
      </c>
      <c r="X286" s="17">
        <f>N("Netflix")-IF(DAY(A286)=Budget!$Q$7,Budget!$P$7,0)</f>
        <v>0</v>
      </c>
      <c r="Y286" s="17">
        <f>N("Spotify")-IF(DAY(A286)=Budget!$Q$8,Budget!$P$8,0)</f>
        <v>0</v>
      </c>
      <c r="Z286" s="17">
        <f>N("Truebill")-IF(DAY(A286)=Budget!$Q$9,Budget!$P$9,0)</f>
        <v>0</v>
      </c>
      <c r="AA286" s="6">
        <f t="shared" si="32"/>
        <v>0</v>
      </c>
    </row>
    <row r="287" spans="1:30" x14ac:dyDescent="0.3">
      <c r="A287" s="4">
        <f t="shared" si="34"/>
        <v>45911</v>
      </c>
      <c r="B287" s="2">
        <f t="shared" si="33"/>
        <v>4427.46</v>
      </c>
      <c r="C287" s="7">
        <f t="shared" si="35"/>
        <v>1</v>
      </c>
      <c r="D287" s="1">
        <v>0</v>
      </c>
      <c r="E287" s="17">
        <f>N("PAY-LM")+IF(WEEKDAY(A287)=Budget!$C$3,Budget!$B$3,0)</f>
        <v>0</v>
      </c>
      <c r="F287" s="17">
        <f>N("Rent")-IF(DAY(A287)=Budget!$G$3,Budget!$F$3,0)</f>
        <v>0</v>
      </c>
      <c r="G287" s="17">
        <f>N("Car")-IF(DAY(A287)=Budget!$G$4,Budget!$F$4+Budget!$H$4,0)</f>
        <v>0</v>
      </c>
      <c r="H287" s="17">
        <f>N("Mom Rent")-IF(DAY(A287)=Budget!$G$5,Budget!$F$5,0)</f>
        <v>0</v>
      </c>
      <c r="I287" s="17">
        <f>N("AT&amp;T")-IF(DAY(A287)=Budget!$G$8,Budget!$F$8,0)</f>
        <v>0</v>
      </c>
      <c r="J287" s="17">
        <f>N("GA Power")-IF(DAY(A287)=Budget!$G$9,Budget!$F$9,0)</f>
        <v>0</v>
      </c>
      <c r="K287" s="17">
        <f>N("Haircut")-IF(DAY(A287)=Budget!$G$10,Budget!$F$10,0)</f>
        <v>0</v>
      </c>
      <c r="L287" s="17">
        <f>N("Groceries")-IF(DAY(A287)=Budget!$G$6,Budget!$F$6,0)</f>
        <v>0</v>
      </c>
      <c r="M287" s="17">
        <f>N("Savings")-IF(DAY(A287)=Budget!$G$7,Budget!$F$7,0)</f>
        <v>0</v>
      </c>
      <c r="N287" s="17">
        <f>N("Car Insurance")-COUNTIF(Budget!$G$14, A287)*Budget!$F$14</f>
        <v>0</v>
      </c>
      <c r="O287" s="17">
        <f>N("Phone Bill")-COUNTIF(Budget!$G$15, A287)*Budget!$F$15</f>
        <v>0</v>
      </c>
      <c r="Q287" s="17">
        <f>N("Spotify")-IF(AND(DAY($A287)=Budget!$M$3, MONTH($A287)=Budget!$L$3),Budget!$K$3,0)</f>
        <v>0</v>
      </c>
      <c r="R287" s="17">
        <f>N("Spotify")-IF(AND(DAY($A287)=Budget!$M$4, MONTH($A287)=Budget!$L$4),Budget!$K$4,0)</f>
        <v>0</v>
      </c>
      <c r="S287" s="17">
        <f>N("Spotify")-IF(AND(DAY($A287)=Budget!$M$5, MONTH($A287)=Budget!$L$5),Budget!$K$5,0)</f>
        <v>0</v>
      </c>
      <c r="T287" s="17">
        <f>N("Amazon Prime")-IF(DAY(A287)=Budget!$Q$3,Budget!$P$3,0)</f>
        <v>0</v>
      </c>
      <c r="U287" s="17">
        <f>N("Audible")-IF(DAY(A287)=Budget!$Q$12,Budget!$P$12,0)</f>
        <v>0</v>
      </c>
      <c r="V287" s="17">
        <f>N("Crunchyroll")-IF(DAY(A287)=Budget!$Q$5,Budget!$P$5,0)</f>
        <v>0</v>
      </c>
      <c r="W287" s="17">
        <f>N("HBO Max")-IF(DAY(A287)=Budget!$Q$6,Budget!$P$6,0)</f>
        <v>0</v>
      </c>
      <c r="X287" s="17">
        <f>N("Netflix")-IF(DAY(A287)=Budget!$Q$7,Budget!$P$7,0)</f>
        <v>0</v>
      </c>
      <c r="Y287" s="17">
        <f>N("Spotify")-IF(DAY(A287)=Budget!$Q$8,Budget!$P$8,0)</f>
        <v>0</v>
      </c>
      <c r="Z287" s="17">
        <f>N("Truebill")-IF(DAY(A287)=Budget!$Q$9,Budget!$P$9,0)</f>
        <v>0</v>
      </c>
      <c r="AA287" s="6">
        <f t="shared" si="32"/>
        <v>0</v>
      </c>
    </row>
    <row r="288" spans="1:30" x14ac:dyDescent="0.3">
      <c r="A288" s="4">
        <f t="shared" si="34"/>
        <v>45912</v>
      </c>
      <c r="B288" s="2">
        <f t="shared" si="33"/>
        <v>5874.46</v>
      </c>
      <c r="C288" s="7">
        <f t="shared" si="35"/>
        <v>2</v>
      </c>
      <c r="D288" s="1">
        <v>0</v>
      </c>
      <c r="E288" s="17">
        <f>N("PAY-LM")+IF(WEEKDAY(A288)=Budget!$C$3,Budget!$B$3,0)</f>
        <v>1453</v>
      </c>
      <c r="F288" s="17">
        <f>N("Rent")-IF(DAY(A288)=Budget!$G$3,Budget!$F$3,0)</f>
        <v>0</v>
      </c>
      <c r="G288" s="17">
        <f>N("Car")-IF(DAY(A288)=Budget!$G$4,Budget!$F$4+Budget!$H$4,0)</f>
        <v>0</v>
      </c>
      <c r="H288" s="17">
        <f>N("Mom Rent")-IF(DAY(A288)=Budget!$G$5,Budget!$F$5,0)</f>
        <v>0</v>
      </c>
      <c r="I288" s="17">
        <f>N("AT&amp;T")-IF(DAY(A288)=Budget!$G$8,Budget!$F$8,0)</f>
        <v>0</v>
      </c>
      <c r="J288" s="17">
        <f>N("GA Power")-IF(DAY(A288)=Budget!$G$9,Budget!$F$9,0)</f>
        <v>0</v>
      </c>
      <c r="K288" s="17">
        <f>N("Haircut")-IF(DAY(A288)=Budget!$G$10,Budget!$F$10,0)</f>
        <v>0</v>
      </c>
      <c r="L288" s="17">
        <f>N("Groceries")-IF(DAY(A288)=Budget!$G$6,Budget!$F$6,0)</f>
        <v>0</v>
      </c>
      <c r="M288" s="17">
        <f>N("Savings")-IF(DAY(A288)=Budget!$G$7,Budget!$F$7,0)</f>
        <v>0</v>
      </c>
      <c r="N288" s="17">
        <f>N("Car Insurance")-COUNTIF(Budget!$G$14, A288)*Budget!$F$14</f>
        <v>0</v>
      </c>
      <c r="O288" s="17">
        <f>N("Phone Bill")-COUNTIF(Budget!$G$15, A288)*Budget!$F$15</f>
        <v>0</v>
      </c>
      <c r="Q288" s="17">
        <f>N("Spotify")-IF(AND(DAY($A288)=Budget!$M$3, MONTH($A288)=Budget!$L$3),Budget!$K$3,0)</f>
        <v>0</v>
      </c>
      <c r="R288" s="17">
        <f>N("Spotify")-IF(AND(DAY($A288)=Budget!$M$4, MONTH($A288)=Budget!$L$4),Budget!$K$4,0)</f>
        <v>0</v>
      </c>
      <c r="S288" s="17">
        <f>N("Spotify")-IF(AND(DAY($A288)=Budget!$M$5, MONTH($A288)=Budget!$L$5),Budget!$K$5,0)</f>
        <v>0</v>
      </c>
      <c r="T288" s="17">
        <f>N("Amazon Prime")-IF(DAY(A288)=Budget!$Q$3,Budget!$P$3,0)</f>
        <v>0</v>
      </c>
      <c r="U288" s="17">
        <f>N("Audible")-IF(DAY(A288)=Budget!$Q$12,Budget!$P$12,0)</f>
        <v>0</v>
      </c>
      <c r="V288" s="17">
        <f>N("Crunchyroll")-IF(DAY(A288)=Budget!$Q$5,Budget!$P$5,0)</f>
        <v>0</v>
      </c>
      <c r="W288" s="17">
        <f>N("HBO Max")-IF(DAY(A288)=Budget!$Q$6,Budget!$P$6,0)</f>
        <v>0</v>
      </c>
      <c r="X288" s="17">
        <f>N("Netflix")-IF(DAY(A288)=Budget!$Q$7,Budget!$P$7,0)</f>
        <v>-6</v>
      </c>
      <c r="Y288" s="17">
        <f>N("Spotify")-IF(DAY(A288)=Budget!$Q$8,Budget!$P$8,0)</f>
        <v>0</v>
      </c>
      <c r="Z288" s="17">
        <f>N("Truebill")-IF(DAY(A288)=Budget!$Q$9,Budget!$P$9,0)</f>
        <v>0</v>
      </c>
      <c r="AA288" s="6">
        <f t="shared" si="32"/>
        <v>1447</v>
      </c>
    </row>
    <row r="289" spans="1:27" x14ac:dyDescent="0.3">
      <c r="A289" s="4">
        <f t="shared" si="34"/>
        <v>45913</v>
      </c>
      <c r="B289" s="2">
        <f t="shared" si="33"/>
        <v>5874.46</v>
      </c>
      <c r="C289" s="7">
        <f t="shared" si="35"/>
        <v>1</v>
      </c>
      <c r="D289" s="1">
        <v>0</v>
      </c>
      <c r="E289" s="17">
        <f>N("PAY-LM")+IF(WEEKDAY(A289)=Budget!$C$3,Budget!$B$3,0)</f>
        <v>0</v>
      </c>
      <c r="F289" s="17">
        <f>N("Rent")-IF(DAY(A289)=Budget!$G$3,Budget!$F$3,0)</f>
        <v>0</v>
      </c>
      <c r="G289" s="17">
        <f>N("Car")-IF(DAY(A289)=Budget!$G$4,Budget!$F$4+Budget!$H$4,0)</f>
        <v>0</v>
      </c>
      <c r="H289" s="17">
        <f>N("Mom Rent")-IF(DAY(A289)=Budget!$G$5,Budget!$F$5,0)</f>
        <v>0</v>
      </c>
      <c r="I289" s="17">
        <f>N("AT&amp;T")-IF(DAY(A289)=Budget!$G$8,Budget!$F$8,0)</f>
        <v>0</v>
      </c>
      <c r="J289" s="17">
        <f>N("GA Power")-IF(DAY(A289)=Budget!$G$9,Budget!$F$9,0)</f>
        <v>0</v>
      </c>
      <c r="K289" s="17">
        <f>N("Haircut")-IF(DAY(A289)=Budget!$G$10,Budget!$F$10,0)</f>
        <v>0</v>
      </c>
      <c r="L289" s="17">
        <f>N("Groceries")-IF(DAY(A289)=Budget!$G$6,Budget!$F$6,0)</f>
        <v>0</v>
      </c>
      <c r="M289" s="17">
        <f>N("Savings")-IF(DAY(A289)=Budget!$G$7,Budget!$F$7,0)</f>
        <v>0</v>
      </c>
      <c r="N289" s="17">
        <f>N("Car Insurance")-COUNTIF(Budget!$G$14, A289)*Budget!$F$14</f>
        <v>0</v>
      </c>
      <c r="O289" s="17">
        <f>N("Phone Bill")-COUNTIF(Budget!$G$15, A289)*Budget!$F$15</f>
        <v>0</v>
      </c>
      <c r="Q289" s="17">
        <f>N("Spotify")-IF(AND(DAY($A289)=Budget!$M$3, MONTH($A289)=Budget!$L$3),Budget!$K$3,0)</f>
        <v>0</v>
      </c>
      <c r="R289" s="17">
        <f>N("Spotify")-IF(AND(DAY($A289)=Budget!$M$4, MONTH($A289)=Budget!$L$4),Budget!$K$4,0)</f>
        <v>0</v>
      </c>
      <c r="S289" s="17">
        <f>N("Spotify")-IF(AND(DAY($A289)=Budget!$M$5, MONTH($A289)=Budget!$L$5),Budget!$K$5,0)</f>
        <v>0</v>
      </c>
      <c r="T289" s="17">
        <f>N("Amazon Prime")-IF(DAY(A289)=Budget!$Q$3,Budget!$P$3,0)</f>
        <v>0</v>
      </c>
      <c r="U289" s="17">
        <f>N("Audible")-IF(DAY(A289)=Budget!$Q$12,Budget!$P$12,0)</f>
        <v>0</v>
      </c>
      <c r="V289" s="17">
        <f>N("Crunchyroll")-IF(DAY(A289)=Budget!$Q$5,Budget!$P$5,0)</f>
        <v>0</v>
      </c>
      <c r="W289" s="17">
        <f>N("HBO Max")-IF(DAY(A289)=Budget!$Q$6,Budget!$P$6,0)</f>
        <v>0</v>
      </c>
      <c r="X289" s="17">
        <f>N("Netflix")-IF(DAY(A289)=Budget!$Q$7,Budget!$P$7,0)</f>
        <v>0</v>
      </c>
      <c r="Y289" s="17">
        <f>N("Spotify")-IF(DAY(A289)=Budget!$Q$8,Budget!$P$8,0)</f>
        <v>0</v>
      </c>
      <c r="Z289" s="17">
        <f>N("Truebill")-IF(DAY(A289)=Budget!$Q$9,Budget!$P$9,0)</f>
        <v>0</v>
      </c>
      <c r="AA289" s="6">
        <f t="shared" si="32"/>
        <v>0</v>
      </c>
    </row>
    <row r="290" spans="1:27" x14ac:dyDescent="0.3">
      <c r="A290" s="4">
        <f t="shared" si="34"/>
        <v>45914</v>
      </c>
      <c r="B290" s="2">
        <f t="shared" si="33"/>
        <v>5874.46</v>
      </c>
      <c r="C290" s="7">
        <f t="shared" si="35"/>
        <v>1</v>
      </c>
      <c r="D290" s="1">
        <v>0</v>
      </c>
      <c r="E290" s="17">
        <f>N("PAY-LM")+IF(WEEKDAY(A290)=Budget!$C$3,Budget!$B$3,0)</f>
        <v>0</v>
      </c>
      <c r="F290" s="17">
        <f>N("Rent")-IF(DAY(A290)=Budget!$G$3,Budget!$F$3,0)</f>
        <v>0</v>
      </c>
      <c r="G290" s="17">
        <f>N("Car")-IF(DAY(A290)=Budget!$G$4,Budget!$F$4+Budget!$H$4,0)</f>
        <v>0</v>
      </c>
      <c r="H290" s="17">
        <f>N("Mom Rent")-IF(DAY(A290)=Budget!$G$5,Budget!$F$5,0)</f>
        <v>0</v>
      </c>
      <c r="I290" s="17">
        <f>N("AT&amp;T")-IF(DAY(A290)=Budget!$G$8,Budget!$F$8,0)</f>
        <v>0</v>
      </c>
      <c r="J290" s="17">
        <f>N("GA Power")-IF(DAY(A290)=Budget!$G$9,Budget!$F$9,0)</f>
        <v>0</v>
      </c>
      <c r="K290" s="17">
        <f>N("Haircut")-IF(DAY(A290)=Budget!$G$10,Budget!$F$10,0)</f>
        <v>0</v>
      </c>
      <c r="L290" s="17">
        <f>N("Groceries")-IF(DAY(A290)=Budget!$G$6,Budget!$F$6,0)</f>
        <v>0</v>
      </c>
      <c r="M290" s="17">
        <f>N("Savings")-IF(DAY(A290)=Budget!$G$7,Budget!$F$7,0)</f>
        <v>0</v>
      </c>
      <c r="N290" s="17">
        <f>N("Car Insurance")-COUNTIF(Budget!$G$14, A290)*Budget!$F$14</f>
        <v>0</v>
      </c>
      <c r="O290" s="17">
        <f>N("Phone Bill")-COUNTIF(Budget!$G$15, A290)*Budget!$F$15</f>
        <v>0</v>
      </c>
      <c r="Q290" s="17">
        <f>N("Spotify")-IF(AND(DAY($A290)=Budget!$M$3, MONTH($A290)=Budget!$L$3),Budget!$K$3,0)</f>
        <v>0</v>
      </c>
      <c r="R290" s="17">
        <f>N("Spotify")-IF(AND(DAY($A290)=Budget!$M$4, MONTH($A290)=Budget!$L$4),Budget!$K$4,0)</f>
        <v>0</v>
      </c>
      <c r="S290" s="17">
        <f>N("Spotify")-IF(AND(DAY($A290)=Budget!$M$5, MONTH($A290)=Budget!$L$5),Budget!$K$5,0)</f>
        <v>0</v>
      </c>
      <c r="T290" s="17">
        <f>N("Amazon Prime")-IF(DAY(A290)=Budget!$Q$3,Budget!$P$3,0)</f>
        <v>0</v>
      </c>
      <c r="U290" s="17">
        <f>N("Audible")-IF(DAY(A290)=Budget!$Q$12,Budget!$P$12,0)</f>
        <v>0</v>
      </c>
      <c r="V290" s="17">
        <f>N("Crunchyroll")-IF(DAY(A290)=Budget!$Q$5,Budget!$P$5,0)</f>
        <v>0</v>
      </c>
      <c r="W290" s="17">
        <f>N("HBO Max")-IF(DAY(A290)=Budget!$Q$6,Budget!$P$6,0)</f>
        <v>0</v>
      </c>
      <c r="X290" s="17">
        <f>N("Netflix")-IF(DAY(A290)=Budget!$Q$7,Budget!$P$7,0)</f>
        <v>0</v>
      </c>
      <c r="Y290" s="17">
        <f>N("Spotify")-IF(DAY(A290)=Budget!$Q$8,Budget!$P$8,0)</f>
        <v>0</v>
      </c>
      <c r="Z290" s="17">
        <f>N("Truebill")-IF(DAY(A290)=Budget!$Q$9,Budget!$P$9,0)</f>
        <v>0</v>
      </c>
      <c r="AA290" s="6">
        <f t="shared" si="32"/>
        <v>0</v>
      </c>
    </row>
    <row r="291" spans="1:27" x14ac:dyDescent="0.3">
      <c r="A291" s="4">
        <f t="shared" si="34"/>
        <v>45915</v>
      </c>
      <c r="B291" s="2">
        <f t="shared" si="33"/>
        <v>5574.46</v>
      </c>
      <c r="C291" s="7">
        <f t="shared" si="35"/>
        <v>0</v>
      </c>
      <c r="D291" s="1">
        <v>0</v>
      </c>
      <c r="E291" s="17">
        <f>N("PAY-LM")+IF(WEEKDAY(A291)=Budget!$C$3,Budget!$B$3,0)</f>
        <v>0</v>
      </c>
      <c r="F291" s="17">
        <f>N("Rent")-IF(DAY(A291)=Budget!$G$3,Budget!$F$3,0)</f>
        <v>0</v>
      </c>
      <c r="G291" s="17">
        <f>N("Car")-IF(DAY(A291)=Budget!$G$4,Budget!$F$4+Budget!$H$4,0)</f>
        <v>0</v>
      </c>
      <c r="H291" s="17">
        <f>N("Mom Rent")-IF(DAY(A291)=Budget!$G$5,Budget!$F$5,0)</f>
        <v>0</v>
      </c>
      <c r="I291" s="17">
        <f>N("AT&amp;T")-IF(DAY(A291)=Budget!$G$8,Budget!$F$8,0)</f>
        <v>0</v>
      </c>
      <c r="J291" s="17">
        <f>N("GA Power")-IF(DAY(A291)=Budget!$G$9,Budget!$F$9,0)</f>
        <v>0</v>
      </c>
      <c r="K291" s="17">
        <f>N("Haircut")-IF(DAY(A291)=Budget!$G$10,Budget!$F$10,0)</f>
        <v>0</v>
      </c>
      <c r="L291" s="17">
        <f>N("Groceries")-IF(DAY(A291)=Budget!$G$6,Budget!$F$6,0)</f>
        <v>0</v>
      </c>
      <c r="M291" s="17">
        <f>N("Savings")-IF(DAY(A291)=Budget!$G$7,Budget!$F$7,0)</f>
        <v>0</v>
      </c>
      <c r="N291" s="17">
        <f>N("Car Insurance")-COUNTIF(Budget!$G$14, A291)*Budget!$F$14</f>
        <v>0</v>
      </c>
      <c r="O291" s="17">
        <f>N("Phone Bill")-COUNTIF(Budget!$G$15, A291)*Budget!$F$15</f>
        <v>-300</v>
      </c>
      <c r="Q291" s="17">
        <f>N("Spotify")-IF(AND(DAY($A291)=Budget!$M$3, MONTH($A291)=Budget!$L$3),Budget!$K$3,0)</f>
        <v>0</v>
      </c>
      <c r="R291" s="17">
        <f>N("Spotify")-IF(AND(DAY($A291)=Budget!$M$4, MONTH($A291)=Budget!$L$4),Budget!$K$4,0)</f>
        <v>0</v>
      </c>
      <c r="S291" s="17">
        <f>N("Spotify")-IF(AND(DAY($A291)=Budget!$M$5, MONTH($A291)=Budget!$L$5),Budget!$K$5,0)</f>
        <v>0</v>
      </c>
      <c r="T291" s="17">
        <f>N("Amazon Prime")-IF(DAY(A291)=Budget!$Q$3,Budget!$P$3,0)</f>
        <v>0</v>
      </c>
      <c r="U291" s="17">
        <f>N("Audible")-IF(DAY(A291)=Budget!$Q$12,Budget!$P$12,0)</f>
        <v>0</v>
      </c>
      <c r="V291" s="17">
        <f>N("Crunchyroll")-IF(DAY(A291)=Budget!$Q$5,Budget!$P$5,0)</f>
        <v>0</v>
      </c>
      <c r="W291" s="17">
        <f>N("HBO Max")-IF(DAY(A291)=Budget!$Q$6,Budget!$P$6,0)</f>
        <v>0</v>
      </c>
      <c r="X291" s="17">
        <f>N("Netflix")-IF(DAY(A291)=Budget!$Q$7,Budget!$P$7,0)</f>
        <v>0</v>
      </c>
      <c r="Y291" s="17">
        <f>N("Spotify")-IF(DAY(A291)=Budget!$Q$8,Budget!$P$8,0)</f>
        <v>0</v>
      </c>
      <c r="Z291" s="17">
        <f>N("Truebill")-IF(DAY(A291)=Budget!$Q$9,Budget!$P$9,0)</f>
        <v>0</v>
      </c>
      <c r="AA291" s="6">
        <f t="shared" si="32"/>
        <v>-300</v>
      </c>
    </row>
    <row r="292" spans="1:27" x14ac:dyDescent="0.3">
      <c r="A292" s="4">
        <f t="shared" si="34"/>
        <v>45916</v>
      </c>
      <c r="B292" s="2">
        <f t="shared" si="33"/>
        <v>5574.46</v>
      </c>
      <c r="C292" s="7">
        <f t="shared" si="35"/>
        <v>1</v>
      </c>
      <c r="D292" s="1">
        <v>0</v>
      </c>
      <c r="E292" s="17">
        <f>N("PAY-LM")+IF(WEEKDAY(A292)=Budget!$C$3,Budget!$B$3,0)</f>
        <v>0</v>
      </c>
      <c r="F292" s="17">
        <f>N("Rent")-IF(DAY(A292)=Budget!$G$3,Budget!$F$3,0)</f>
        <v>0</v>
      </c>
      <c r="G292" s="17">
        <f>N("Car")-IF(DAY(A292)=Budget!$G$4,Budget!$F$4+Budget!$H$4,0)</f>
        <v>0</v>
      </c>
      <c r="H292" s="17">
        <f>N("Mom Rent")-IF(DAY(A292)=Budget!$G$5,Budget!$F$5,0)</f>
        <v>0</v>
      </c>
      <c r="I292" s="17">
        <f>N("AT&amp;T")-IF(DAY(A292)=Budget!$G$8,Budget!$F$8,0)</f>
        <v>0</v>
      </c>
      <c r="J292" s="17">
        <f>N("GA Power")-IF(DAY(A292)=Budget!$G$9,Budget!$F$9,0)</f>
        <v>0</v>
      </c>
      <c r="K292" s="17">
        <f>N("Haircut")-IF(DAY(A292)=Budget!$G$10,Budget!$F$10,0)</f>
        <v>0</v>
      </c>
      <c r="L292" s="17">
        <f>N("Groceries")-IF(DAY(A292)=Budget!$G$6,Budget!$F$6,0)</f>
        <v>0</v>
      </c>
      <c r="M292" s="17">
        <f>N("Savings")-IF(DAY(A292)=Budget!$G$7,Budget!$F$7,0)</f>
        <v>0</v>
      </c>
      <c r="N292" s="17">
        <f>N("Car Insurance")-COUNTIF(Budget!$G$14, A292)*Budget!$F$14</f>
        <v>0</v>
      </c>
      <c r="O292" s="17">
        <f>N("Phone Bill")-COUNTIF(Budget!$G$15, A292)*Budget!$F$15</f>
        <v>0</v>
      </c>
      <c r="Q292" s="17">
        <f>N("Spotify")-IF(AND(DAY($A292)=Budget!$M$3, MONTH($A292)=Budget!$L$3),Budget!$K$3,0)</f>
        <v>0</v>
      </c>
      <c r="R292" s="17">
        <f>N("Spotify")-IF(AND(DAY($A292)=Budget!$M$4, MONTH($A292)=Budget!$L$4),Budget!$K$4,0)</f>
        <v>0</v>
      </c>
      <c r="S292" s="17">
        <f>N("Spotify")-IF(AND(DAY($A292)=Budget!$M$5, MONTH($A292)=Budget!$L$5),Budget!$K$5,0)</f>
        <v>0</v>
      </c>
      <c r="T292" s="17">
        <f>N("Amazon Prime")-IF(DAY(A292)=Budget!$Q$3,Budget!$P$3,0)</f>
        <v>0</v>
      </c>
      <c r="U292" s="17">
        <f>N("Audible")-IF(DAY(A292)=Budget!$Q$12,Budget!$P$12,0)</f>
        <v>0</v>
      </c>
      <c r="V292" s="17">
        <f>N("Crunchyroll")-IF(DAY(A292)=Budget!$Q$5,Budget!$P$5,0)</f>
        <v>0</v>
      </c>
      <c r="W292" s="17">
        <f>N("HBO Max")-IF(DAY(A292)=Budget!$Q$6,Budget!$P$6,0)</f>
        <v>0</v>
      </c>
      <c r="X292" s="17">
        <f>N("Netflix")-IF(DAY(A292)=Budget!$Q$7,Budget!$P$7,0)</f>
        <v>0</v>
      </c>
      <c r="Y292" s="17">
        <f>N("Spotify")-IF(DAY(A292)=Budget!$Q$8,Budget!$P$8,0)</f>
        <v>0</v>
      </c>
      <c r="Z292" s="17">
        <f>N("Truebill")-IF(DAY(A292)=Budget!$Q$9,Budget!$P$9,0)</f>
        <v>0</v>
      </c>
      <c r="AA292" s="6">
        <f t="shared" si="32"/>
        <v>0</v>
      </c>
    </row>
    <row r="293" spans="1:27" x14ac:dyDescent="0.3">
      <c r="A293" s="4">
        <f t="shared" si="34"/>
        <v>45917</v>
      </c>
      <c r="B293" s="2">
        <f t="shared" si="33"/>
        <v>5574.46</v>
      </c>
      <c r="C293" s="7">
        <f t="shared" si="35"/>
        <v>1</v>
      </c>
      <c r="D293" s="1">
        <v>0</v>
      </c>
      <c r="E293" s="17">
        <f>N("PAY-LM")+IF(WEEKDAY(A293)=Budget!$C$3,Budget!$B$3,0)</f>
        <v>0</v>
      </c>
      <c r="F293" s="17">
        <f>N("Rent")-IF(DAY(A293)=Budget!$G$3,Budget!$F$3,0)</f>
        <v>0</v>
      </c>
      <c r="G293" s="17">
        <f>N("Car")-IF(DAY(A293)=Budget!$G$4,Budget!$F$4+Budget!$H$4,0)</f>
        <v>0</v>
      </c>
      <c r="H293" s="17">
        <f>N("Mom Rent")-IF(DAY(A293)=Budget!$G$5,Budget!$F$5,0)</f>
        <v>0</v>
      </c>
      <c r="I293" s="17">
        <f>N("AT&amp;T")-IF(DAY(A293)=Budget!$G$8,Budget!$F$8,0)</f>
        <v>0</v>
      </c>
      <c r="J293" s="17">
        <f>N("GA Power")-IF(DAY(A293)=Budget!$G$9,Budget!$F$9,0)</f>
        <v>0</v>
      </c>
      <c r="K293" s="17">
        <f>N("Haircut")-IF(DAY(A293)=Budget!$G$10,Budget!$F$10,0)</f>
        <v>0</v>
      </c>
      <c r="L293" s="17">
        <f>N("Groceries")-IF(DAY(A293)=Budget!$G$6,Budget!$F$6,0)</f>
        <v>0</v>
      </c>
      <c r="M293" s="17">
        <f>N("Savings")-IF(DAY(A293)=Budget!$G$7,Budget!$F$7,0)</f>
        <v>0</v>
      </c>
      <c r="N293" s="17">
        <f>N("Car Insurance")-COUNTIF(Budget!$G$14, A293)*Budget!$F$14</f>
        <v>0</v>
      </c>
      <c r="O293" s="17">
        <f>N("Phone Bill")-COUNTIF(Budget!$G$15, A293)*Budget!$F$15</f>
        <v>0</v>
      </c>
      <c r="Q293" s="17">
        <f>N("Spotify")-IF(AND(DAY($A293)=Budget!$M$3, MONTH($A293)=Budget!$L$3),Budget!$K$3,0)</f>
        <v>0</v>
      </c>
      <c r="R293" s="17">
        <f>N("Spotify")-IF(AND(DAY($A293)=Budget!$M$4, MONTH($A293)=Budget!$L$4),Budget!$K$4,0)</f>
        <v>0</v>
      </c>
      <c r="S293" s="17">
        <f>N("Spotify")-IF(AND(DAY($A293)=Budget!$M$5, MONTH($A293)=Budget!$L$5),Budget!$K$5,0)</f>
        <v>0</v>
      </c>
      <c r="T293" s="17">
        <f>N("Amazon Prime")-IF(DAY(A293)=Budget!$Q$3,Budget!$P$3,0)</f>
        <v>0</v>
      </c>
      <c r="U293" s="17">
        <f>N("Audible")-IF(DAY(A293)=Budget!$Q$12,Budget!$P$12,0)</f>
        <v>0</v>
      </c>
      <c r="V293" s="17">
        <f>N("Crunchyroll")-IF(DAY(A293)=Budget!$Q$5,Budget!$P$5,0)</f>
        <v>0</v>
      </c>
      <c r="W293" s="17">
        <f>N("HBO Max")-IF(DAY(A293)=Budget!$Q$6,Budget!$P$6,0)</f>
        <v>0</v>
      </c>
      <c r="X293" s="17">
        <f>N("Netflix")-IF(DAY(A293)=Budget!$Q$7,Budget!$P$7,0)</f>
        <v>0</v>
      </c>
      <c r="Y293" s="17">
        <f>N("Spotify")-IF(DAY(A293)=Budget!$Q$8,Budget!$P$8,0)</f>
        <v>0</v>
      </c>
      <c r="Z293" s="17">
        <f>N("Truebill")-IF(DAY(A293)=Budget!$Q$9,Budget!$P$9,0)</f>
        <v>0</v>
      </c>
      <c r="AA293" s="6">
        <f t="shared" si="32"/>
        <v>0</v>
      </c>
    </row>
    <row r="294" spans="1:27" x14ac:dyDescent="0.3">
      <c r="A294" s="4">
        <f t="shared" si="34"/>
        <v>45918</v>
      </c>
      <c r="B294" s="2">
        <f t="shared" si="33"/>
        <v>5509.46</v>
      </c>
      <c r="C294" s="7">
        <f t="shared" si="35"/>
        <v>0</v>
      </c>
      <c r="D294" s="1">
        <v>0</v>
      </c>
      <c r="E294" s="17">
        <f>N("PAY-LM")+IF(WEEKDAY(A294)=Budget!$C$3,Budget!$B$3,0)</f>
        <v>0</v>
      </c>
      <c r="F294" s="17">
        <f>N("Rent")-IF(DAY(A294)=Budget!$G$3,Budget!$F$3,0)</f>
        <v>0</v>
      </c>
      <c r="G294" s="17">
        <f>N("Car")-IF(DAY(A294)=Budget!$G$4,Budget!$F$4+Budget!$H$4,0)</f>
        <v>0</v>
      </c>
      <c r="H294" s="17">
        <f>N("Mom Rent")-IF(DAY(A294)=Budget!$G$5,Budget!$F$5,0)</f>
        <v>0</v>
      </c>
      <c r="I294" s="17">
        <f>N("AT&amp;T")-IF(DAY(A294)=Budget!$G$8,Budget!$F$8,0)</f>
        <v>-65</v>
      </c>
      <c r="J294" s="17">
        <f>N("GA Power")-IF(DAY(A294)=Budget!$G$9,Budget!$F$9,0)</f>
        <v>0</v>
      </c>
      <c r="K294" s="17">
        <f>N("Haircut")-IF(DAY(A294)=Budget!$G$10,Budget!$F$10,0)</f>
        <v>0</v>
      </c>
      <c r="L294" s="17">
        <f>N("Groceries")-IF(DAY(A294)=Budget!$G$6,Budget!$F$6,0)</f>
        <v>0</v>
      </c>
      <c r="M294" s="17">
        <f>N("Savings")-IF(DAY(A294)=Budget!$G$7,Budget!$F$7,0)</f>
        <v>0</v>
      </c>
      <c r="N294" s="17">
        <f>N("Car Insurance")-COUNTIF(Budget!$G$14, A294)*Budget!$F$14</f>
        <v>0</v>
      </c>
      <c r="O294" s="17">
        <f>N("Phone Bill")-COUNTIF(Budget!$G$15, A294)*Budget!$F$15</f>
        <v>0</v>
      </c>
      <c r="Q294" s="17">
        <f>N("Spotify")-IF(AND(DAY($A294)=Budget!$M$3, MONTH($A294)=Budget!$L$3),Budget!$K$3,0)</f>
        <v>0</v>
      </c>
      <c r="R294" s="17">
        <f>N("Spotify")-IF(AND(DAY($A294)=Budget!$M$4, MONTH($A294)=Budget!$L$4),Budget!$K$4,0)</f>
        <v>0</v>
      </c>
      <c r="S294" s="17">
        <f>N("Spotify")-IF(AND(DAY($A294)=Budget!$M$5, MONTH($A294)=Budget!$L$5),Budget!$K$5,0)</f>
        <v>0</v>
      </c>
      <c r="T294" s="17">
        <f>N("Amazon Prime")-IF(DAY(A294)=Budget!$Q$3,Budget!$P$3,0)</f>
        <v>0</v>
      </c>
      <c r="U294" s="17">
        <f>N("Audible")-IF(DAY(A294)=Budget!$Q$12,Budget!$P$12,0)</f>
        <v>0</v>
      </c>
      <c r="V294" s="17">
        <f>N("Crunchyroll")-IF(DAY(A294)=Budget!$Q$5,Budget!$P$5,0)</f>
        <v>0</v>
      </c>
      <c r="W294" s="17">
        <f>N("HBO Max")-IF(DAY(A294)=Budget!$Q$6,Budget!$P$6,0)</f>
        <v>0</v>
      </c>
      <c r="X294" s="17">
        <f>N("Netflix")-IF(DAY(A294)=Budget!$Q$7,Budget!$P$7,0)</f>
        <v>0</v>
      </c>
      <c r="Y294" s="17">
        <f>N("Spotify")-IF(DAY(A294)=Budget!$Q$8,Budget!$P$8,0)</f>
        <v>0</v>
      </c>
      <c r="Z294" s="17">
        <f>N("Truebill")-IF(DAY(A294)=Budget!$Q$9,Budget!$P$9,0)</f>
        <v>0</v>
      </c>
      <c r="AA294" s="6">
        <f t="shared" si="32"/>
        <v>-65</v>
      </c>
    </row>
    <row r="295" spans="1:27" x14ac:dyDescent="0.3">
      <c r="A295" s="4">
        <f t="shared" si="34"/>
        <v>45919</v>
      </c>
      <c r="B295" s="2">
        <f t="shared" si="33"/>
        <v>6962.46</v>
      </c>
      <c r="C295" s="7">
        <f t="shared" si="35"/>
        <v>2</v>
      </c>
      <c r="D295" s="1">
        <v>0</v>
      </c>
      <c r="E295" s="17">
        <f>N("PAY-LM")+IF(WEEKDAY(A295)=Budget!$C$3,Budget!$B$3,0)</f>
        <v>1453</v>
      </c>
      <c r="F295" s="17">
        <f>N("Rent")-IF(DAY(A295)=Budget!$G$3,Budget!$F$3,0)</f>
        <v>0</v>
      </c>
      <c r="G295" s="17">
        <f>N("Car")-IF(DAY(A295)=Budget!$G$4,Budget!$F$4+Budget!$H$4,0)</f>
        <v>0</v>
      </c>
      <c r="H295" s="17">
        <f>N("Mom Rent")-IF(DAY(A295)=Budget!$G$5,Budget!$F$5,0)</f>
        <v>0</v>
      </c>
      <c r="I295" s="17">
        <f>N("AT&amp;T")-IF(DAY(A295)=Budget!$G$8,Budget!$F$8,0)</f>
        <v>0</v>
      </c>
      <c r="J295" s="17">
        <f>N("GA Power")-IF(DAY(A295)=Budget!$G$9,Budget!$F$9,0)</f>
        <v>0</v>
      </c>
      <c r="K295" s="17">
        <f>N("Haircut")-IF(DAY(A295)=Budget!$G$10,Budget!$F$10,0)</f>
        <v>0</v>
      </c>
      <c r="L295" s="17">
        <f>N("Groceries")-IF(DAY(A295)=Budget!$G$6,Budget!$F$6,0)</f>
        <v>0</v>
      </c>
      <c r="M295" s="17">
        <f>N("Savings")-IF(DAY(A295)=Budget!$G$7,Budget!$F$7,0)</f>
        <v>0</v>
      </c>
      <c r="N295" s="17">
        <f>N("Car Insurance")-COUNTIF(Budget!$G$14, A295)*Budget!$F$14</f>
        <v>0</v>
      </c>
      <c r="O295" s="17">
        <f>N("Phone Bill")-COUNTIF(Budget!$G$15, A295)*Budget!$F$15</f>
        <v>0</v>
      </c>
      <c r="Q295" s="17">
        <f>N("Spotify")-IF(AND(DAY($A295)=Budget!$M$3, MONTH($A295)=Budget!$L$3),Budget!$K$3,0)</f>
        <v>0</v>
      </c>
      <c r="R295" s="17">
        <f>N("Spotify")-IF(AND(DAY($A295)=Budget!$M$4, MONTH($A295)=Budget!$L$4),Budget!$K$4,0)</f>
        <v>0</v>
      </c>
      <c r="S295" s="17">
        <f>N("Spotify")-IF(AND(DAY($A295)=Budget!$M$5, MONTH($A295)=Budget!$L$5),Budget!$K$5,0)</f>
        <v>0</v>
      </c>
      <c r="T295" s="17">
        <f>N("Amazon Prime")-IF(DAY(A295)=Budget!$Q$3,Budget!$P$3,0)</f>
        <v>0</v>
      </c>
      <c r="U295" s="17">
        <f>N("Audible")-IF(DAY(A295)=Budget!$Q$12,Budget!$P$12,0)</f>
        <v>0</v>
      </c>
      <c r="V295" s="17">
        <f>N("Crunchyroll")-IF(DAY(A295)=Budget!$Q$5,Budget!$P$5,0)</f>
        <v>0</v>
      </c>
      <c r="W295" s="17">
        <f>N("HBO Max")-IF(DAY(A295)=Budget!$Q$6,Budget!$P$6,0)</f>
        <v>0</v>
      </c>
      <c r="X295" s="17">
        <f>N("Netflix")-IF(DAY(A295)=Budget!$Q$7,Budget!$P$7,0)</f>
        <v>0</v>
      </c>
      <c r="Y295" s="17">
        <f>N("Spotify")-IF(DAY(A295)=Budget!$Q$8,Budget!$P$8,0)</f>
        <v>0</v>
      </c>
      <c r="Z295" s="17">
        <f>N("Truebill")-IF(DAY(A295)=Budget!$Q$9,Budget!$P$9,0)</f>
        <v>0</v>
      </c>
      <c r="AA295" s="6">
        <f t="shared" si="32"/>
        <v>1453</v>
      </c>
    </row>
    <row r="296" spans="1:27" x14ac:dyDescent="0.3">
      <c r="A296" s="4">
        <f t="shared" si="34"/>
        <v>45920</v>
      </c>
      <c r="B296" s="2">
        <f t="shared" si="33"/>
        <v>5980.46</v>
      </c>
      <c r="C296" s="7">
        <f t="shared" si="35"/>
        <v>0</v>
      </c>
      <c r="D296" s="1">
        <v>-132</v>
      </c>
      <c r="E296" s="17">
        <f>N("PAY-LM")+IF(WEEKDAY(A296)=Budget!$C$3,Budget!$B$3,0)</f>
        <v>0</v>
      </c>
      <c r="F296" s="17">
        <f>N("Rent")-IF(DAY(A296)=Budget!$G$3,Budget!$F$3,0)</f>
        <v>0</v>
      </c>
      <c r="G296" s="17">
        <f>N("Car")-IF(DAY(A296)=Budget!$G$4,Budget!$F$4+Budget!$H$4,0)</f>
        <v>0</v>
      </c>
      <c r="H296" s="17">
        <f>N("Mom Rent")-IF(DAY(A296)=Budget!$G$5,Budget!$F$5,0)</f>
        <v>-850</v>
      </c>
      <c r="I296" s="17">
        <f>N("AT&amp;T")-IF(DAY(A296)=Budget!$G$8,Budget!$F$8,0)</f>
        <v>0</v>
      </c>
      <c r="J296" s="17">
        <f>N("GA Power")-IF(DAY(A296)=Budget!$G$9,Budget!$F$9,0)</f>
        <v>0</v>
      </c>
      <c r="K296" s="17">
        <f>N("Haircut")-IF(DAY(A296)=Budget!$G$10,Budget!$F$10,0)</f>
        <v>0</v>
      </c>
      <c r="L296" s="17">
        <f>N("Groceries")-IF(DAY(A296)=Budget!$G$6,Budget!$F$6,0)</f>
        <v>0</v>
      </c>
      <c r="M296" s="17">
        <f>N("Savings")-IF(DAY(A296)=Budget!$G$7,Budget!$F$7,0)</f>
        <v>0</v>
      </c>
      <c r="N296" s="17">
        <f>N("Car Insurance")-COUNTIF(Budget!$G$14, A296)*Budget!$F$14</f>
        <v>0</v>
      </c>
      <c r="O296" s="17">
        <f>N("Phone Bill")-COUNTIF(Budget!$G$15, A296)*Budget!$F$15</f>
        <v>0</v>
      </c>
      <c r="Q296" s="17">
        <f>N("Spotify")-IF(AND(DAY($A296)=Budget!$M$3, MONTH($A296)=Budget!$L$3),Budget!$K$3,0)</f>
        <v>0</v>
      </c>
      <c r="R296" s="17">
        <f>N("Spotify")-IF(AND(DAY($A296)=Budget!$M$4, MONTH($A296)=Budget!$L$4),Budget!$K$4,0)</f>
        <v>0</v>
      </c>
      <c r="S296" s="17">
        <f>N("Spotify")-IF(AND(DAY($A296)=Budget!$M$5, MONTH($A296)=Budget!$L$5),Budget!$K$5,0)</f>
        <v>0</v>
      </c>
      <c r="T296" s="17">
        <f>N("Amazon Prime")-IF(DAY(A296)=Budget!$Q$3,Budget!$P$3,0)</f>
        <v>0</v>
      </c>
      <c r="U296" s="17">
        <f>N("Audible")-IF(DAY(A296)=Budget!$Q$12,Budget!$P$12,0)</f>
        <v>0</v>
      </c>
      <c r="V296" s="17">
        <f>N("Crunchyroll")-IF(DAY(A296)=Budget!$Q$5,Budget!$P$5,0)</f>
        <v>0</v>
      </c>
      <c r="W296" s="17">
        <f>N("HBO Max")-IF(DAY(A296)=Budget!$Q$6,Budget!$P$6,0)</f>
        <v>0</v>
      </c>
      <c r="X296" s="17">
        <f>N("Netflix")-IF(DAY(A296)=Budget!$Q$7,Budget!$P$7,0)</f>
        <v>0</v>
      </c>
      <c r="Y296" s="17">
        <f>N("Spotify")-IF(DAY(A296)=Budget!$Q$8,Budget!$P$8,0)</f>
        <v>0</v>
      </c>
      <c r="Z296" s="17">
        <f>N("Truebill")-IF(DAY(A296)=Budget!$Q$9,Budget!$P$9,0)</f>
        <v>0</v>
      </c>
      <c r="AA296" s="6">
        <f t="shared" si="32"/>
        <v>-982</v>
      </c>
    </row>
    <row r="297" spans="1:27" x14ac:dyDescent="0.3">
      <c r="A297" s="4">
        <f t="shared" si="34"/>
        <v>45921</v>
      </c>
      <c r="B297" s="2">
        <f t="shared" si="33"/>
        <v>5980.46</v>
      </c>
      <c r="C297" s="7">
        <f t="shared" si="35"/>
        <v>1</v>
      </c>
      <c r="D297" s="1">
        <v>0</v>
      </c>
      <c r="E297" s="17">
        <f>N("PAY-LM")+IF(WEEKDAY(A297)=Budget!$C$3,Budget!$B$3,0)</f>
        <v>0</v>
      </c>
      <c r="F297" s="17">
        <f>N("Rent")-IF(DAY(A297)=Budget!$G$3,Budget!$F$3,0)</f>
        <v>0</v>
      </c>
      <c r="G297" s="17">
        <f>N("Car")-IF(DAY(A297)=Budget!$G$4,Budget!$F$4+Budget!$H$4,0)</f>
        <v>0</v>
      </c>
      <c r="H297" s="17">
        <f>N("Mom Rent")-IF(DAY(A297)=Budget!$G$5,Budget!$F$5,0)</f>
        <v>0</v>
      </c>
      <c r="I297" s="17">
        <f>N("AT&amp;T")-IF(DAY(A297)=Budget!$G$8,Budget!$F$8,0)</f>
        <v>0</v>
      </c>
      <c r="J297" s="17">
        <f>N("GA Power")-IF(DAY(A297)=Budget!$G$9,Budget!$F$9,0)</f>
        <v>0</v>
      </c>
      <c r="K297" s="17">
        <f>N("Haircut")-IF(DAY(A297)=Budget!$G$10,Budget!$F$10,0)</f>
        <v>0</v>
      </c>
      <c r="L297" s="17">
        <f>N("Groceries")-IF(DAY(A297)=Budget!$G$6,Budget!$F$6,0)</f>
        <v>0</v>
      </c>
      <c r="M297" s="17">
        <f>N("Savings")-IF(DAY(A297)=Budget!$G$7,Budget!$F$7,0)</f>
        <v>0</v>
      </c>
      <c r="N297" s="17">
        <f>N("Car Insurance")-COUNTIF(Budget!$G$14, A297)*Budget!$F$14</f>
        <v>0</v>
      </c>
      <c r="O297" s="17">
        <f>N("Phone Bill")-COUNTIF(Budget!$G$15, A297)*Budget!$F$15</f>
        <v>0</v>
      </c>
      <c r="Q297" s="17">
        <f>N("Spotify")-IF(AND(DAY($A297)=Budget!$M$3, MONTH($A297)=Budget!$L$3),Budget!$K$3,0)</f>
        <v>0</v>
      </c>
      <c r="R297" s="17">
        <f>N("Spotify")-IF(AND(DAY($A297)=Budget!$M$4, MONTH($A297)=Budget!$L$4),Budget!$K$4,0)</f>
        <v>0</v>
      </c>
      <c r="S297" s="17">
        <f>N("Spotify")-IF(AND(DAY($A297)=Budget!$M$5, MONTH($A297)=Budget!$L$5),Budget!$K$5,0)</f>
        <v>0</v>
      </c>
      <c r="T297" s="17">
        <f>N("Amazon Prime")-IF(DAY(A297)=Budget!$Q$3,Budget!$P$3,0)</f>
        <v>0</v>
      </c>
      <c r="U297" s="17">
        <f>N("Audible")-IF(DAY(A297)=Budget!$Q$12,Budget!$P$12,0)</f>
        <v>0</v>
      </c>
      <c r="V297" s="17">
        <f>N("Crunchyroll")-IF(DAY(A297)=Budget!$Q$5,Budget!$P$5,0)</f>
        <v>0</v>
      </c>
      <c r="W297" s="17">
        <f>N("HBO Max")-IF(DAY(A297)=Budget!$Q$6,Budget!$P$6,0)</f>
        <v>0</v>
      </c>
      <c r="X297" s="17">
        <f>N("Netflix")-IF(DAY(A297)=Budget!$Q$7,Budget!$P$7,0)</f>
        <v>0</v>
      </c>
      <c r="Y297" s="17">
        <f>N("Spotify")-IF(DAY(A297)=Budget!$Q$8,Budget!$P$8,0)</f>
        <v>0</v>
      </c>
      <c r="Z297" s="17">
        <f>N("Truebill")-IF(DAY(A297)=Budget!$Q$9,Budget!$P$9,0)</f>
        <v>0</v>
      </c>
      <c r="AA297" s="6">
        <f t="shared" si="32"/>
        <v>0</v>
      </c>
    </row>
    <row r="298" spans="1:27" x14ac:dyDescent="0.3">
      <c r="A298" s="4">
        <f t="shared" si="34"/>
        <v>45922</v>
      </c>
      <c r="B298" s="2">
        <f t="shared" si="33"/>
        <v>5980.46</v>
      </c>
      <c r="C298" s="7">
        <f t="shared" si="35"/>
        <v>1</v>
      </c>
      <c r="D298" s="1">
        <v>0</v>
      </c>
      <c r="E298" s="17">
        <f>N("PAY-LM")+IF(WEEKDAY(A298)=Budget!$C$3,Budget!$B$3,0)</f>
        <v>0</v>
      </c>
      <c r="F298" s="17">
        <f>N("Rent")-IF(DAY(A298)=Budget!$G$3,Budget!$F$3,0)</f>
        <v>0</v>
      </c>
      <c r="G298" s="17">
        <f>N("Car")-IF(DAY(A298)=Budget!$G$4,Budget!$F$4+Budget!$H$4,0)</f>
        <v>0</v>
      </c>
      <c r="H298" s="17">
        <f>N("Mom Rent")-IF(DAY(A298)=Budget!$G$5,Budget!$F$5,0)</f>
        <v>0</v>
      </c>
      <c r="I298" s="17">
        <f>N("AT&amp;T")-IF(DAY(A298)=Budget!$G$8,Budget!$F$8,0)</f>
        <v>0</v>
      </c>
      <c r="J298" s="17">
        <f>N("GA Power")-IF(DAY(A298)=Budget!$G$9,Budget!$F$9,0)</f>
        <v>0</v>
      </c>
      <c r="K298" s="17">
        <f>N("Haircut")-IF(DAY(A298)=Budget!$G$10,Budget!$F$10,0)</f>
        <v>0</v>
      </c>
      <c r="L298" s="17">
        <f>N("Groceries")-IF(DAY(A298)=Budget!$G$6,Budget!$F$6,0)</f>
        <v>0</v>
      </c>
      <c r="M298" s="17">
        <f>N("Savings")-IF(DAY(A298)=Budget!$G$7,Budget!$F$7,0)</f>
        <v>0</v>
      </c>
      <c r="N298" s="17">
        <f>N("Car Insurance")-COUNTIF(Budget!$G$14, A298)*Budget!$F$14</f>
        <v>0</v>
      </c>
      <c r="O298" s="17">
        <f>N("Phone Bill")-COUNTIF(Budget!$G$15, A298)*Budget!$F$15</f>
        <v>0</v>
      </c>
      <c r="Q298" s="17">
        <f>N("Spotify")-IF(AND(DAY($A298)=Budget!$M$3, MONTH($A298)=Budget!$L$3),Budget!$K$3,0)</f>
        <v>0</v>
      </c>
      <c r="R298" s="17">
        <f>N("Spotify")-IF(AND(DAY($A298)=Budget!$M$4, MONTH($A298)=Budget!$L$4),Budget!$K$4,0)</f>
        <v>0</v>
      </c>
      <c r="S298" s="17">
        <f>N("Spotify")-IF(AND(DAY($A298)=Budget!$M$5, MONTH($A298)=Budget!$L$5),Budget!$K$5,0)</f>
        <v>0</v>
      </c>
      <c r="T298" s="17">
        <f>N("Amazon Prime")-IF(DAY(A298)=Budget!$Q$3,Budget!$P$3,0)</f>
        <v>0</v>
      </c>
      <c r="U298" s="17">
        <f>N("Audible")-IF(DAY(A298)=Budget!$Q$12,Budget!$P$12,0)</f>
        <v>0</v>
      </c>
      <c r="V298" s="17">
        <f>N("Crunchyroll")-IF(DAY(A298)=Budget!$Q$5,Budget!$P$5,0)</f>
        <v>0</v>
      </c>
      <c r="W298" s="17">
        <f>N("HBO Max")-IF(DAY(A298)=Budget!$Q$6,Budget!$P$6,0)</f>
        <v>0</v>
      </c>
      <c r="X298" s="17">
        <f>N("Netflix")-IF(DAY(A298)=Budget!$Q$7,Budget!$P$7,0)</f>
        <v>0</v>
      </c>
      <c r="Y298" s="17">
        <f>N("Spotify")-IF(DAY(A298)=Budget!$Q$8,Budget!$P$8,0)</f>
        <v>0</v>
      </c>
      <c r="Z298" s="17">
        <f>N("Truebill")-IF(DAY(A298)=Budget!$Q$9,Budget!$P$9,0)</f>
        <v>0</v>
      </c>
      <c r="AA298" s="6">
        <f t="shared" si="32"/>
        <v>0</v>
      </c>
    </row>
    <row r="299" spans="1:27" x14ac:dyDescent="0.3">
      <c r="A299" s="4">
        <f t="shared" si="34"/>
        <v>45923</v>
      </c>
      <c r="B299" s="2">
        <f t="shared" si="33"/>
        <v>5980.46</v>
      </c>
      <c r="C299" s="7">
        <f t="shared" si="35"/>
        <v>1</v>
      </c>
      <c r="D299" s="1">
        <v>0</v>
      </c>
      <c r="E299" s="17">
        <f>N("PAY-LM")+IF(WEEKDAY(A299)=Budget!$C$3,Budget!$B$3,0)</f>
        <v>0</v>
      </c>
      <c r="F299" s="17">
        <f>N("Rent")-IF(DAY(A299)=Budget!$G$3,Budget!$F$3,0)</f>
        <v>0</v>
      </c>
      <c r="G299" s="17">
        <f>N("Car")-IF(DAY(A299)=Budget!$G$4,Budget!$F$4+Budget!$H$4,0)</f>
        <v>0</v>
      </c>
      <c r="H299" s="17">
        <f>N("Mom Rent")-IF(DAY(A299)=Budget!$G$5,Budget!$F$5,0)</f>
        <v>0</v>
      </c>
      <c r="I299" s="17">
        <f>N("AT&amp;T")-IF(DAY(A299)=Budget!$G$8,Budget!$F$8,0)</f>
        <v>0</v>
      </c>
      <c r="J299" s="17">
        <f>N("GA Power")-IF(DAY(A299)=Budget!$G$9,Budget!$F$9,0)</f>
        <v>0</v>
      </c>
      <c r="K299" s="17">
        <f>N("Haircut")-IF(DAY(A299)=Budget!$G$10,Budget!$F$10,0)</f>
        <v>0</v>
      </c>
      <c r="L299" s="17">
        <f>N("Groceries")-IF(DAY(A299)=Budget!$G$6,Budget!$F$6,0)</f>
        <v>0</v>
      </c>
      <c r="M299" s="17">
        <f>N("Savings")-IF(DAY(A299)=Budget!$G$7,Budget!$F$7,0)</f>
        <v>0</v>
      </c>
      <c r="N299" s="17">
        <f>N("Car Insurance")-COUNTIF(Budget!$G$14, A299)*Budget!$F$14</f>
        <v>0</v>
      </c>
      <c r="O299" s="17">
        <f>N("Phone Bill")-COUNTIF(Budget!$G$15, A299)*Budget!$F$15</f>
        <v>0</v>
      </c>
      <c r="Q299" s="17">
        <f>N("Spotify")-IF(AND(DAY($A299)=Budget!$M$3, MONTH($A299)=Budget!$L$3),Budget!$K$3,0)</f>
        <v>0</v>
      </c>
      <c r="R299" s="17">
        <f>N("Spotify")-IF(AND(DAY($A299)=Budget!$M$4, MONTH($A299)=Budget!$L$4),Budget!$K$4,0)</f>
        <v>0</v>
      </c>
      <c r="S299" s="17">
        <f>N("Spotify")-IF(AND(DAY($A299)=Budget!$M$5, MONTH($A299)=Budget!$L$5),Budget!$K$5,0)</f>
        <v>0</v>
      </c>
      <c r="T299" s="17">
        <f>N("Amazon Prime")-IF(DAY(A299)=Budget!$Q$3,Budget!$P$3,0)</f>
        <v>0</v>
      </c>
      <c r="U299" s="17">
        <f>N("Audible")-IF(DAY(A299)=Budget!$Q$12,Budget!$P$12,0)</f>
        <v>0</v>
      </c>
      <c r="V299" s="17">
        <f>N("Crunchyroll")-IF(DAY(A299)=Budget!$Q$5,Budget!$P$5,0)</f>
        <v>0</v>
      </c>
      <c r="W299" s="17">
        <f>N("HBO Max")-IF(DAY(A299)=Budget!$Q$6,Budget!$P$6,0)</f>
        <v>0</v>
      </c>
      <c r="X299" s="17">
        <f>N("Netflix")-IF(DAY(A299)=Budget!$Q$7,Budget!$P$7,0)</f>
        <v>0</v>
      </c>
      <c r="Y299" s="17">
        <f>N("Spotify")-IF(DAY(A299)=Budget!$Q$8,Budget!$P$8,0)</f>
        <v>0</v>
      </c>
      <c r="Z299" s="17">
        <f>N("Truebill")-IF(DAY(A299)=Budget!$Q$9,Budget!$P$9,0)</f>
        <v>0</v>
      </c>
      <c r="AA299" s="6">
        <f t="shared" si="32"/>
        <v>0</v>
      </c>
    </row>
    <row r="300" spans="1:27" x14ac:dyDescent="0.3">
      <c r="A300" s="4">
        <f t="shared" si="34"/>
        <v>45924</v>
      </c>
      <c r="B300" s="2">
        <f t="shared" si="33"/>
        <v>5980.46</v>
      </c>
      <c r="C300" s="7">
        <f t="shared" si="35"/>
        <v>1</v>
      </c>
      <c r="D300" s="1">
        <v>0</v>
      </c>
      <c r="E300" s="17">
        <f>N("PAY-LM")+IF(WEEKDAY(A300)=Budget!$C$3,Budget!$B$3,0)</f>
        <v>0</v>
      </c>
      <c r="F300" s="17">
        <f>N("Rent")-IF(DAY(A300)=Budget!$G$3,Budget!$F$3,0)</f>
        <v>0</v>
      </c>
      <c r="G300" s="17">
        <f>N("Car")-IF(DAY(A300)=Budget!$G$4,Budget!$F$4+Budget!$H$4,0)</f>
        <v>0</v>
      </c>
      <c r="H300" s="17">
        <f>N("Mom Rent")-IF(DAY(A300)=Budget!$G$5,Budget!$F$5,0)</f>
        <v>0</v>
      </c>
      <c r="I300" s="17">
        <f>N("AT&amp;T")-IF(DAY(A300)=Budget!$G$8,Budget!$F$8,0)</f>
        <v>0</v>
      </c>
      <c r="J300" s="17">
        <f>N("GA Power")-IF(DAY(A300)=Budget!$G$9,Budget!$F$9,0)</f>
        <v>0</v>
      </c>
      <c r="K300" s="17">
        <f>N("Haircut")-IF(DAY(A300)=Budget!$G$10,Budget!$F$10,0)</f>
        <v>0</v>
      </c>
      <c r="L300" s="17">
        <f>N("Groceries")-IF(DAY(A300)=Budget!$G$6,Budget!$F$6,0)</f>
        <v>0</v>
      </c>
      <c r="M300" s="17">
        <f>N("Savings")-IF(DAY(A300)=Budget!$G$7,Budget!$F$7,0)</f>
        <v>0</v>
      </c>
      <c r="N300" s="17">
        <f>N("Car Insurance")-COUNTIF(Budget!$G$14, A300)*Budget!$F$14</f>
        <v>0</v>
      </c>
      <c r="O300" s="17">
        <f>N("Phone Bill")-COUNTIF(Budget!$G$15, A300)*Budget!$F$15</f>
        <v>0</v>
      </c>
      <c r="Q300" s="17">
        <f>N("Spotify")-IF(AND(DAY($A300)=Budget!$M$3, MONTH($A300)=Budget!$L$3),Budget!$K$3,0)</f>
        <v>0</v>
      </c>
      <c r="R300" s="17">
        <f>N("Spotify")-IF(AND(DAY($A300)=Budget!$M$4, MONTH($A300)=Budget!$L$4),Budget!$K$4,0)</f>
        <v>0</v>
      </c>
      <c r="S300" s="17">
        <f>N("Spotify")-IF(AND(DAY($A300)=Budget!$M$5, MONTH($A300)=Budget!$L$5),Budget!$K$5,0)</f>
        <v>0</v>
      </c>
      <c r="T300" s="17">
        <f>N("Amazon Prime")-IF(DAY(A300)=Budget!$Q$3,Budget!$P$3,0)</f>
        <v>0</v>
      </c>
      <c r="U300" s="17">
        <f>N("Audible")-IF(DAY(A300)=Budget!$Q$12,Budget!$P$12,0)</f>
        <v>0</v>
      </c>
      <c r="V300" s="17">
        <f>N("Crunchyroll")-IF(DAY(A300)=Budget!$Q$5,Budget!$P$5,0)</f>
        <v>0</v>
      </c>
      <c r="W300" s="17">
        <f>N("HBO Max")-IF(DAY(A300)=Budget!$Q$6,Budget!$P$6,0)</f>
        <v>0</v>
      </c>
      <c r="X300" s="17">
        <f>N("Netflix")-IF(DAY(A300)=Budget!$Q$7,Budget!$P$7,0)</f>
        <v>0</v>
      </c>
      <c r="Y300" s="17">
        <f>N("Spotify")-IF(DAY(A300)=Budget!$Q$8,Budget!$P$8,0)</f>
        <v>0</v>
      </c>
      <c r="Z300" s="17">
        <f>N("Truebill")-IF(DAY(A300)=Budget!$Q$9,Budget!$P$9,0)</f>
        <v>0</v>
      </c>
      <c r="AA300" s="6">
        <f t="shared" si="32"/>
        <v>0</v>
      </c>
    </row>
    <row r="301" spans="1:27" x14ac:dyDescent="0.3">
      <c r="A301" s="4">
        <f t="shared" si="34"/>
        <v>45925</v>
      </c>
      <c r="B301" s="2">
        <f t="shared" si="33"/>
        <v>5980.46</v>
      </c>
      <c r="C301" s="7">
        <f t="shared" si="35"/>
        <v>1</v>
      </c>
      <c r="D301" s="1">
        <v>0</v>
      </c>
      <c r="E301" s="17">
        <f>N("PAY-LM")+IF(WEEKDAY(A301)=Budget!$C$3,Budget!$B$3,0)</f>
        <v>0</v>
      </c>
      <c r="F301" s="17">
        <f>N("Rent")-IF(DAY(A301)=Budget!$G$3,Budget!$F$3,0)</f>
        <v>0</v>
      </c>
      <c r="G301" s="17">
        <f>N("Car")-IF(DAY(A301)=Budget!$G$4,Budget!$F$4+Budget!$H$4,0)</f>
        <v>0</v>
      </c>
      <c r="H301" s="17">
        <f>N("Mom Rent")-IF(DAY(A301)=Budget!$G$5,Budget!$F$5,0)</f>
        <v>0</v>
      </c>
      <c r="I301" s="17">
        <f>N("AT&amp;T")-IF(DAY(A301)=Budget!$G$8,Budget!$F$8,0)</f>
        <v>0</v>
      </c>
      <c r="J301" s="17">
        <f>N("GA Power")-IF(DAY(A301)=Budget!$G$9,Budget!$F$9,0)</f>
        <v>0</v>
      </c>
      <c r="K301" s="17">
        <f>N("Haircut")-IF(DAY(A301)=Budget!$G$10,Budget!$F$10,0)</f>
        <v>0</v>
      </c>
      <c r="L301" s="17">
        <f>N("Groceries")-IF(DAY(A301)=Budget!$G$6,Budget!$F$6,0)</f>
        <v>0</v>
      </c>
      <c r="M301" s="17">
        <f>N("Savings")-IF(DAY(A301)=Budget!$G$7,Budget!$F$7,0)</f>
        <v>0</v>
      </c>
      <c r="N301" s="17">
        <f>N("Car Insurance")-COUNTIF(Budget!$G$14, A301)*Budget!$F$14</f>
        <v>0</v>
      </c>
      <c r="O301" s="17">
        <f>N("Phone Bill")-COUNTIF(Budget!$G$15, A301)*Budget!$F$15</f>
        <v>0</v>
      </c>
      <c r="Q301" s="17">
        <f>N("Spotify")-IF(AND(DAY($A301)=Budget!$M$3, MONTH($A301)=Budget!$L$3),Budget!$K$3,0)</f>
        <v>0</v>
      </c>
      <c r="R301" s="17">
        <f>N("Spotify")-IF(AND(DAY($A301)=Budget!$M$4, MONTH($A301)=Budget!$L$4),Budget!$K$4,0)</f>
        <v>0</v>
      </c>
      <c r="S301" s="17">
        <f>N("Spotify")-IF(AND(DAY($A301)=Budget!$M$5, MONTH($A301)=Budget!$L$5),Budget!$K$5,0)</f>
        <v>0</v>
      </c>
      <c r="T301" s="17">
        <f>N("Amazon Prime")-IF(DAY(A301)=Budget!$Q$3,Budget!$P$3,0)</f>
        <v>0</v>
      </c>
      <c r="U301" s="17">
        <f>N("Audible")-IF(DAY(A301)=Budget!$Q$12,Budget!$P$12,0)</f>
        <v>0</v>
      </c>
      <c r="V301" s="17">
        <f>N("Crunchyroll")-IF(DAY(A301)=Budget!$Q$5,Budget!$P$5,0)</f>
        <v>0</v>
      </c>
      <c r="W301" s="17">
        <f>N("HBO Max")-IF(DAY(A301)=Budget!$Q$6,Budget!$P$6,0)</f>
        <v>0</v>
      </c>
      <c r="X301" s="17">
        <f>N("Netflix")-IF(DAY(A301)=Budget!$Q$7,Budget!$P$7,0)</f>
        <v>0</v>
      </c>
      <c r="Y301" s="17">
        <f>N("Spotify")-IF(DAY(A301)=Budget!$Q$8,Budget!$P$8,0)</f>
        <v>0</v>
      </c>
      <c r="Z301" s="17">
        <f>N("Truebill")-IF(DAY(A301)=Budget!$Q$9,Budget!$P$9,0)</f>
        <v>0</v>
      </c>
      <c r="AA301" s="6">
        <f t="shared" si="32"/>
        <v>0</v>
      </c>
    </row>
    <row r="302" spans="1:27" x14ac:dyDescent="0.3">
      <c r="A302" s="4">
        <f t="shared" si="34"/>
        <v>45926</v>
      </c>
      <c r="B302" s="2">
        <f t="shared" si="33"/>
        <v>7033.46</v>
      </c>
      <c r="C302" s="7">
        <f t="shared" si="35"/>
        <v>2</v>
      </c>
      <c r="D302" s="1">
        <v>0</v>
      </c>
      <c r="E302" s="17">
        <f>N("PAY-LM")+IF(WEEKDAY(A302)=Budget!$C$3,Budget!$B$3,0)</f>
        <v>1453</v>
      </c>
      <c r="F302" s="17">
        <f>N("Rent")-IF(DAY(A302)=Budget!$G$3,Budget!$F$3,0)</f>
        <v>0</v>
      </c>
      <c r="G302" s="17">
        <f>N("Car")-IF(DAY(A302)=Budget!$G$4,Budget!$F$4+Budget!$H$4,0)</f>
        <v>0</v>
      </c>
      <c r="H302" s="17">
        <f>N("Mom Rent")-IF(DAY(A302)=Budget!$G$5,Budget!$F$5,0)</f>
        <v>0</v>
      </c>
      <c r="I302" s="17">
        <f>N("AT&amp;T")-IF(DAY(A302)=Budget!$G$8,Budget!$F$8,0)</f>
        <v>0</v>
      </c>
      <c r="J302" s="17">
        <f>N("GA Power")-IF(DAY(A302)=Budget!$G$9,Budget!$F$9,0)</f>
        <v>0</v>
      </c>
      <c r="K302" s="17">
        <f>N("Haircut")-IF(DAY(A302)=Budget!$G$10,Budget!$F$10,0)</f>
        <v>-400</v>
      </c>
      <c r="L302" s="17">
        <f>N("Groceries")-IF(DAY(A302)=Budget!$G$6,Budget!$F$6,0)</f>
        <v>0</v>
      </c>
      <c r="M302" s="17">
        <f>N("Savings")-IF(DAY(A302)=Budget!$G$7,Budget!$F$7,0)</f>
        <v>0</v>
      </c>
      <c r="N302" s="17">
        <f>N("Car Insurance")-COUNTIF(Budget!$G$14, A302)*Budget!$F$14</f>
        <v>0</v>
      </c>
      <c r="O302" s="17">
        <f>N("Phone Bill")-COUNTIF(Budget!$G$15, A302)*Budget!$F$15</f>
        <v>0</v>
      </c>
      <c r="Q302" s="17">
        <f>N("Spotify")-IF(AND(DAY($A302)=Budget!$M$3, MONTH($A302)=Budget!$L$3),Budget!$K$3,0)</f>
        <v>0</v>
      </c>
      <c r="R302" s="17">
        <f>N("Spotify")-IF(AND(DAY($A302)=Budget!$M$4, MONTH($A302)=Budget!$L$4),Budget!$K$4,0)</f>
        <v>0</v>
      </c>
      <c r="S302" s="17">
        <f>N("Spotify")-IF(AND(DAY($A302)=Budget!$M$5, MONTH($A302)=Budget!$L$5),Budget!$K$5,0)</f>
        <v>0</v>
      </c>
      <c r="T302" s="17">
        <f>N("Amazon Prime")-IF(DAY(A302)=Budget!$Q$3,Budget!$P$3,0)</f>
        <v>0</v>
      </c>
      <c r="U302" s="17">
        <f>N("Audible")-IF(DAY(A302)=Budget!$Q$12,Budget!$P$12,0)</f>
        <v>0</v>
      </c>
      <c r="V302" s="17">
        <f>N("Crunchyroll")-IF(DAY(A302)=Budget!$Q$5,Budget!$P$5,0)</f>
        <v>0</v>
      </c>
      <c r="W302" s="17">
        <f>N("HBO Max")-IF(DAY(A302)=Budget!$Q$6,Budget!$P$6,0)</f>
        <v>0</v>
      </c>
      <c r="X302" s="17">
        <f>N("Netflix")-IF(DAY(A302)=Budget!$Q$7,Budget!$P$7,0)</f>
        <v>0</v>
      </c>
      <c r="Y302" s="17">
        <f>N("Spotify")-IF(DAY(A302)=Budget!$Q$8,Budget!$P$8,0)</f>
        <v>0</v>
      </c>
      <c r="Z302" s="17">
        <f>N("Truebill")-IF(DAY(A302)=Budget!$Q$9,Budget!$P$9,0)</f>
        <v>0</v>
      </c>
      <c r="AA302" s="6">
        <f t="shared" si="32"/>
        <v>1053</v>
      </c>
    </row>
    <row r="303" spans="1:27" x14ac:dyDescent="0.3">
      <c r="A303" s="4">
        <f t="shared" si="34"/>
        <v>45927</v>
      </c>
      <c r="B303" s="2">
        <f t="shared" si="33"/>
        <v>7033.46</v>
      </c>
      <c r="C303" s="7">
        <f t="shared" si="35"/>
        <v>1</v>
      </c>
      <c r="D303" s="1">
        <v>0</v>
      </c>
      <c r="E303" s="17">
        <f>N("PAY-LM")+IF(WEEKDAY(A303)=Budget!$C$3,Budget!$B$3,0)</f>
        <v>0</v>
      </c>
      <c r="F303" s="17">
        <f>N("Rent")-IF(DAY(A303)=Budget!$G$3,Budget!$F$3,0)</f>
        <v>0</v>
      </c>
      <c r="G303" s="17">
        <f>N("Car")-IF(DAY(A303)=Budget!$G$4,Budget!$F$4+Budget!$H$4,0)</f>
        <v>0</v>
      </c>
      <c r="H303" s="17">
        <f>N("Mom Rent")-IF(DAY(A303)=Budget!$G$5,Budget!$F$5,0)</f>
        <v>0</v>
      </c>
      <c r="I303" s="17">
        <f>N("AT&amp;T")-IF(DAY(A303)=Budget!$G$8,Budget!$F$8,0)</f>
        <v>0</v>
      </c>
      <c r="J303" s="17">
        <f>N("GA Power")-IF(DAY(A303)=Budget!$G$9,Budget!$F$9,0)</f>
        <v>0</v>
      </c>
      <c r="K303" s="17">
        <f>N("Haircut")-IF(DAY(A303)=Budget!$G$10,Budget!$F$10,0)</f>
        <v>0</v>
      </c>
      <c r="L303" s="17">
        <f>N("Groceries")-IF(DAY(A303)=Budget!$G$6,Budget!$F$6,0)</f>
        <v>0</v>
      </c>
      <c r="M303" s="17">
        <f>N("Savings")-IF(DAY(A303)=Budget!$G$7,Budget!$F$7,0)</f>
        <v>0</v>
      </c>
      <c r="N303" s="17">
        <f>N("Car Insurance")-COUNTIF(Budget!$G$14, A303)*Budget!$F$14</f>
        <v>0</v>
      </c>
      <c r="O303" s="17">
        <f>N("Phone Bill")-COUNTIF(Budget!$G$15, A303)*Budget!$F$15</f>
        <v>0</v>
      </c>
      <c r="Q303" s="17">
        <f>N("Spotify")-IF(AND(DAY($A303)=Budget!$M$3, MONTH($A303)=Budget!$L$3),Budget!$K$3,0)</f>
        <v>0</v>
      </c>
      <c r="R303" s="17">
        <f>N("Spotify")-IF(AND(DAY($A303)=Budget!$M$4, MONTH($A303)=Budget!$L$4),Budget!$K$4,0)</f>
        <v>0</v>
      </c>
      <c r="S303" s="17">
        <f>N("Spotify")-IF(AND(DAY($A303)=Budget!$M$5, MONTH($A303)=Budget!$L$5),Budget!$K$5,0)</f>
        <v>0</v>
      </c>
      <c r="T303" s="17">
        <f>N("Amazon Prime")-IF(DAY(A303)=Budget!$Q$3,Budget!$P$3,0)</f>
        <v>0</v>
      </c>
      <c r="U303" s="17">
        <f>N("Audible")-IF(DAY(A303)=Budget!$Q$12,Budget!$P$12,0)</f>
        <v>0</v>
      </c>
      <c r="V303" s="17">
        <f>N("Crunchyroll")-IF(DAY(A303)=Budget!$Q$5,Budget!$P$5,0)</f>
        <v>0</v>
      </c>
      <c r="W303" s="17">
        <f>N("HBO Max")-IF(DAY(A303)=Budget!$Q$6,Budget!$P$6,0)</f>
        <v>0</v>
      </c>
      <c r="X303" s="17">
        <f>N("Netflix")-IF(DAY(A303)=Budget!$Q$7,Budget!$P$7,0)</f>
        <v>0</v>
      </c>
      <c r="Y303" s="17">
        <f>N("Spotify")-IF(DAY(A303)=Budget!$Q$8,Budget!$P$8,0)</f>
        <v>0</v>
      </c>
      <c r="Z303" s="17">
        <f>N("Truebill")-IF(DAY(A303)=Budget!$Q$9,Budget!$P$9,0)</f>
        <v>0</v>
      </c>
      <c r="AA303" s="6">
        <f t="shared" si="32"/>
        <v>0</v>
      </c>
    </row>
    <row r="304" spans="1:27" x14ac:dyDescent="0.3">
      <c r="A304" s="4">
        <f t="shared" si="34"/>
        <v>45928</v>
      </c>
      <c r="B304" s="2">
        <f t="shared" si="33"/>
        <v>5883.46</v>
      </c>
      <c r="C304" s="7">
        <f t="shared" si="35"/>
        <v>0</v>
      </c>
      <c r="D304" s="1">
        <v>0</v>
      </c>
      <c r="E304" s="17">
        <f>N("PAY-LM")+IF(WEEKDAY(A304)=Budget!$C$3,Budget!$B$3,0)</f>
        <v>0</v>
      </c>
      <c r="F304" s="17">
        <f>N("Rent")-IF(DAY(A304)=Budget!$G$3,Budget!$F$3,0)</f>
        <v>0</v>
      </c>
      <c r="G304" s="17">
        <f>N("Car")-IF(DAY(A304)=Budget!$G$4,Budget!$F$4+Budget!$H$4,0)</f>
        <v>0</v>
      </c>
      <c r="H304" s="17">
        <f>N("Mom Rent")-IF(DAY(A304)=Budget!$G$5,Budget!$F$5,0)</f>
        <v>0</v>
      </c>
      <c r="I304" s="17">
        <f>N("AT&amp;T")-IF(DAY(A304)=Budget!$G$8,Budget!$F$8,0)</f>
        <v>0</v>
      </c>
      <c r="J304" s="17">
        <f>N("GA Power")-IF(DAY(A304)=Budget!$G$9,Budget!$F$9,0)</f>
        <v>0</v>
      </c>
      <c r="K304" s="17">
        <f>N("Haircut")-IF(DAY(A304)=Budget!$G$10,Budget!$F$10,0)</f>
        <v>0</v>
      </c>
      <c r="L304" s="17">
        <f>N("Groceries")-IF(DAY(A304)=Budget!$G$6,Budget!$F$6,0)</f>
        <v>0</v>
      </c>
      <c r="M304" s="17">
        <f>N("Savings")-IF(DAY(A304)=Budget!$G$7,Budget!$F$7,0)</f>
        <v>-1000</v>
      </c>
      <c r="N304" s="17">
        <f>N("Car Insurance")-COUNTIF(Budget!$G$14, A304)*Budget!$F$14</f>
        <v>0</v>
      </c>
      <c r="O304" s="17">
        <f>N("Phone Bill")-COUNTIF(Budget!$G$15, A304)*Budget!$F$15</f>
        <v>0</v>
      </c>
      <c r="Q304" s="17">
        <f>N("Spotify")-IF(AND(DAY($A304)=Budget!$M$3, MONTH($A304)=Budget!$L$3),Budget!$K$3,0)</f>
        <v>0</v>
      </c>
      <c r="R304" s="17">
        <f>N("Spotify")-IF(AND(DAY($A304)=Budget!$M$4, MONTH($A304)=Budget!$L$4),Budget!$K$4,0)</f>
        <v>0</v>
      </c>
      <c r="S304" s="17">
        <f>N("Spotify")-IF(AND(DAY($A304)=Budget!$M$5, MONTH($A304)=Budget!$L$5),Budget!$K$5,0)</f>
        <v>0</v>
      </c>
      <c r="T304" s="17">
        <f>N("Amazon Prime")-IF(DAY(A304)=Budget!$Q$3,Budget!$P$3,0)</f>
        <v>0</v>
      </c>
      <c r="U304" s="17">
        <f>N("Audible")-IF(DAY(A304)=Budget!$Q$12,Budget!$P$12,0)</f>
        <v>0</v>
      </c>
      <c r="V304" s="17">
        <f>N("Crunchyroll")-IF(DAY(A304)=Budget!$Q$5,Budget!$P$5,0)</f>
        <v>0</v>
      </c>
      <c r="W304" s="17">
        <f>N("HBO Max")-IF(DAY(A304)=Budget!$Q$6,Budget!$P$6,0)</f>
        <v>0</v>
      </c>
      <c r="X304" s="17">
        <f>N("Netflix")-IF(DAY(A304)=Budget!$Q$7,Budget!$P$7,0)</f>
        <v>0</v>
      </c>
      <c r="Y304" s="17">
        <f>N("Spotify")-IF(DAY(A304)=Budget!$Q$8,Budget!$P$8,0)</f>
        <v>-150</v>
      </c>
      <c r="Z304" s="17">
        <f>N("Truebill")-IF(DAY(A304)=Budget!$Q$9,Budget!$P$9,0)</f>
        <v>0</v>
      </c>
      <c r="AA304" s="6">
        <f t="shared" si="32"/>
        <v>-1150</v>
      </c>
    </row>
    <row r="305" spans="1:30" x14ac:dyDescent="0.3">
      <c r="A305" s="4">
        <f t="shared" si="34"/>
        <v>45929</v>
      </c>
      <c r="B305" s="2">
        <f t="shared" si="33"/>
        <v>5858.86</v>
      </c>
      <c r="C305" s="7">
        <f>IF(B305&gt;B304,2,IF(B305=B304, 1,0))</f>
        <v>0</v>
      </c>
      <c r="D305" s="1">
        <v>0</v>
      </c>
      <c r="E305" s="17">
        <f>N("PAY-LM")+IF(WEEKDAY(A305)=Budget!$C$3,Budget!$B$3,0)</f>
        <v>0</v>
      </c>
      <c r="F305" s="17">
        <f>N("Rent")-IF(DAY(A305)=Budget!$G$3,Budget!$F$3,0)</f>
        <v>0</v>
      </c>
      <c r="G305" s="17">
        <f>N("Car")-IF(DAY(A305)=Budget!$G$4,Budget!$F$4+Budget!$H$4,0)</f>
        <v>0</v>
      </c>
      <c r="H305" s="17">
        <f>N("Mom Rent")-IF(DAY(A305)=Budget!$G$5,Budget!$F$5,0)</f>
        <v>0</v>
      </c>
      <c r="I305" s="17">
        <f>N("AT&amp;T")-IF(DAY(A305)=Budget!$G$8,Budget!$F$8,0)</f>
        <v>0</v>
      </c>
      <c r="J305" s="17">
        <f>N("GA Power")-IF(DAY(A305)=Budget!$G$9,Budget!$F$9,0)</f>
        <v>0</v>
      </c>
      <c r="K305" s="17">
        <f>N("Haircut")-IF(DAY(A305)=Budget!$G$10,Budget!$F$10,0)</f>
        <v>0</v>
      </c>
      <c r="L305" s="17">
        <f>N("Groceries")-IF(DAY(A305)=Budget!$G$6,Budget!$F$6,0)</f>
        <v>0</v>
      </c>
      <c r="M305" s="17">
        <f>N("Savings")-IF(DAY(A305)=Budget!$G$7,Budget!$F$7,0)</f>
        <v>0</v>
      </c>
      <c r="N305" s="17">
        <f>N("Car Insurance")-COUNTIF(Budget!$G$14, A305)*Budget!$F$14</f>
        <v>0</v>
      </c>
      <c r="O305" s="17">
        <f>N("Phone Bill")-COUNTIF(Budget!$G$15, A305)*Budget!$F$15</f>
        <v>0</v>
      </c>
      <c r="Q305" s="17">
        <f>N("Spotify")-IF(AND(DAY($A305)=Budget!$M$3, MONTH($A305)=Budget!$L$3),Budget!$K$3,0)</f>
        <v>0</v>
      </c>
      <c r="R305" s="17">
        <f>N("Spotify")-IF(AND(DAY($A305)=Budget!$M$4, MONTH($A305)=Budget!$L$4),Budget!$K$4,0)</f>
        <v>0</v>
      </c>
      <c r="S305" s="17">
        <f>N("Spotify")-IF(AND(DAY($A305)=Budget!$M$5, MONTH($A305)=Budget!$L$5),Budget!$K$5,0)</f>
        <v>0</v>
      </c>
      <c r="T305" s="17">
        <f>N("Amazon Prime")-IF(DAY(A305)=Budget!$Q$3,Budget!$P$3,0)</f>
        <v>0</v>
      </c>
      <c r="U305" s="17">
        <f>N("Audible")-IF(DAY(A305)=Budget!$Q$12,Budget!$P$12,0)</f>
        <v>0</v>
      </c>
      <c r="V305" s="17">
        <f>N("Crunchyroll")-IF(DAY(A305)=Budget!$Q$5,Budget!$P$5,0)</f>
        <v>-24.6</v>
      </c>
      <c r="W305" s="17">
        <f>N("HBO Max")-IF(DAY(A305)=Budget!$Q$6,Budget!$P$6,0)</f>
        <v>0</v>
      </c>
      <c r="X305" s="17">
        <f>N("Netflix")-IF(DAY(A305)=Budget!$Q$7,Budget!$P$7,0)</f>
        <v>0</v>
      </c>
      <c r="Y305" s="17">
        <f>N("Spotify")-IF(DAY(A305)=Budget!$Q$8,Budget!$P$8,0)</f>
        <v>0</v>
      </c>
      <c r="Z305" s="17">
        <f>N("Truebill")-IF(DAY(A305)=Budget!$Q$9,Budget!$P$9,0)</f>
        <v>0</v>
      </c>
      <c r="AA305" s="6">
        <f t="shared" si="32"/>
        <v>-24.6</v>
      </c>
    </row>
    <row r="306" spans="1:30" x14ac:dyDescent="0.3">
      <c r="A306" s="4">
        <f t="shared" si="34"/>
        <v>45930</v>
      </c>
      <c r="B306" s="2">
        <f t="shared" si="33"/>
        <v>5858.86</v>
      </c>
      <c r="C306" s="7">
        <f>IF(B306&gt;B305,2,IF(B306=B305, 1,0))</f>
        <v>1</v>
      </c>
      <c r="D306" s="1">
        <v>0</v>
      </c>
      <c r="E306" s="17">
        <f>N("PAY-LM")+IF(WEEKDAY(A306)=Budget!$C$3,Budget!$B$3,0)</f>
        <v>0</v>
      </c>
      <c r="F306" s="17">
        <f>N("Rent")-IF(DAY(A306)=Budget!$G$3,Budget!$F$3,0)</f>
        <v>0</v>
      </c>
      <c r="G306" s="17">
        <f>N("Car")-IF(DAY(A306)=Budget!$G$4,Budget!$F$4+Budget!$H$4,0)</f>
        <v>0</v>
      </c>
      <c r="H306" s="17">
        <f>N("Mom Rent")-IF(DAY(A306)=Budget!$G$5,Budget!$F$5,0)</f>
        <v>0</v>
      </c>
      <c r="I306" s="17">
        <f>N("AT&amp;T")-IF(DAY(A306)=Budget!$G$8,Budget!$F$8,0)</f>
        <v>0</v>
      </c>
      <c r="J306" s="17">
        <f>N("GA Power")-IF(DAY(A306)=Budget!$G$9,Budget!$F$9,0)</f>
        <v>0</v>
      </c>
      <c r="K306" s="17">
        <f>N("Haircut")-IF(DAY(A306)=Budget!$G$10,Budget!$F$10,0)</f>
        <v>0</v>
      </c>
      <c r="L306" s="17">
        <f>N("Groceries")-IF(DAY(A306)=Budget!$G$6,Budget!$F$6,0)</f>
        <v>0</v>
      </c>
      <c r="M306" s="17">
        <f>N("Savings")-IF(DAY(A306)=Budget!$G$7,Budget!$F$7,0)</f>
        <v>0</v>
      </c>
      <c r="N306" s="17">
        <f>N("Car Insurance")-COUNTIF(Budget!$G$14, A306)*Budget!$F$14</f>
        <v>0</v>
      </c>
      <c r="O306" s="17">
        <f>N("Phone Bill")-COUNTIF(Budget!$G$15, A306)*Budget!$F$15</f>
        <v>0</v>
      </c>
      <c r="Q306" s="17">
        <f>N("Spotify")-IF(AND(DAY($A306)=Budget!$M$3, MONTH($A306)=Budget!$L$3),Budget!$K$3,0)</f>
        <v>0</v>
      </c>
      <c r="R306" s="17">
        <f>N("Spotify")-IF(AND(DAY($A306)=Budget!$M$4, MONTH($A306)=Budget!$L$4),Budget!$K$4,0)</f>
        <v>0</v>
      </c>
      <c r="S306" s="17">
        <f>N("Spotify")-IF(AND(DAY($A306)=Budget!$M$5, MONTH($A306)=Budget!$L$5),Budget!$K$5,0)</f>
        <v>0</v>
      </c>
      <c r="T306" s="17">
        <f>N("Amazon Prime")-IF(DAY(A306)=Budget!$Q$3,Budget!$P$3,0)</f>
        <v>0</v>
      </c>
      <c r="U306" s="17">
        <f>N("Audible")-IF(DAY(A306)=Budget!$Q$12,Budget!$P$12,0)</f>
        <v>0</v>
      </c>
      <c r="V306" s="17">
        <f>N("Crunchyroll")-IF(DAY(A306)=Budget!$Q$5,Budget!$P$5,0)</f>
        <v>0</v>
      </c>
      <c r="W306" s="17">
        <f>N("HBO Max")-IF(DAY(A306)=Budget!$Q$6,Budget!$P$6,0)</f>
        <v>0</v>
      </c>
      <c r="X306" s="17">
        <f>N("Netflix")-IF(DAY(A306)=Budget!$Q$7,Budget!$P$7,0)</f>
        <v>0</v>
      </c>
      <c r="Y306" s="17">
        <f>N("Spotify")-IF(DAY(A306)=Budget!$Q$8,Budget!$P$8,0)</f>
        <v>0</v>
      </c>
      <c r="Z306" s="17">
        <f>N("Truebill")-IF(DAY(A306)=Budget!$Q$9,Budget!$P$9,0)</f>
        <v>0</v>
      </c>
      <c r="AA306" s="6">
        <f t="shared" si="32"/>
        <v>0</v>
      </c>
    </row>
    <row r="309" spans="1:30" x14ac:dyDescent="0.3">
      <c r="D309" s="40" t="s">
        <v>17</v>
      </c>
      <c r="E309" s="41" t="s">
        <v>15</v>
      </c>
      <c r="F309" s="41"/>
      <c r="G309" s="41"/>
      <c r="H309" s="41"/>
      <c r="I309" s="41"/>
      <c r="J309" s="41"/>
      <c r="K309" s="41"/>
      <c r="L309" s="41"/>
      <c r="M309" s="41"/>
      <c r="N309" s="42" t="str">
        <f>Budget!$E$12</f>
        <v>Annual Expenses</v>
      </c>
      <c r="O309" s="42"/>
      <c r="Q309" s="43" t="s">
        <v>36</v>
      </c>
      <c r="R309" s="43"/>
      <c r="S309" s="43"/>
      <c r="T309" s="41" t="s">
        <v>8</v>
      </c>
      <c r="U309" s="41"/>
      <c r="V309" s="41"/>
      <c r="W309" s="41"/>
      <c r="X309" s="41"/>
      <c r="Y309" s="41"/>
      <c r="Z309" s="41"/>
      <c r="AA309" s="10" t="s">
        <v>16</v>
      </c>
      <c r="AC309" s="6">
        <f>SUMIF(D311:Z340,"&lt;0")</f>
        <v>-5741.42</v>
      </c>
      <c r="AD309" s="6">
        <f>SUM(E311:E340)</f>
        <v>5812</v>
      </c>
    </row>
    <row r="310" spans="1:30" x14ac:dyDescent="0.3">
      <c r="A310" s="39">
        <f>EDATE(A276,1)</f>
        <v>45931</v>
      </c>
      <c r="B310" s="39"/>
      <c r="D310" s="40"/>
      <c r="E310" s="18" t="str">
        <f>Budget!$A$3</f>
        <v>PAY-LM</v>
      </c>
      <c r="F310" t="str">
        <f>Budget!$E$3</f>
        <v>Rent</v>
      </c>
      <c r="G310" t="str">
        <f>Budget!$E$4</f>
        <v>Car</v>
      </c>
      <c r="H310" t="str">
        <f>Budget!$E$5</f>
        <v>Mom Rent</v>
      </c>
      <c r="I310" t="str">
        <f>Budget!$E$8</f>
        <v>AT&amp;T</v>
      </c>
      <c r="J310" t="str">
        <f>Budget!$E$9</f>
        <v>GA Power</v>
      </c>
      <c r="K310" t="str">
        <f>Budget!$E$10</f>
        <v>TH</v>
      </c>
      <c r="L310" t="str">
        <f>Budget!$E$6</f>
        <v>Groceries</v>
      </c>
      <c r="M310" s="16" t="str">
        <f>Budget!$E$7</f>
        <v>Savings</v>
      </c>
      <c r="N310" t="str">
        <f>Budget!$E$14</f>
        <v>Car Insurance</v>
      </c>
      <c r="O310" t="str">
        <f>Budget!$E$15</f>
        <v>Phone Bill</v>
      </c>
      <c r="Q310" t="str">
        <f>Budget!$J$3</f>
        <v>Capital One</v>
      </c>
      <c r="R310" t="str">
        <f>Budget!$J$4</f>
        <v>Chase</v>
      </c>
      <c r="S310" t="str">
        <f>Budget!$J$5</f>
        <v>NFCU</v>
      </c>
      <c r="T310" t="str">
        <f>Budget!$O$3</f>
        <v>Amazon Prime</v>
      </c>
      <c r="U310" t="str">
        <f>Budget!$O$12</f>
        <v>Audible</v>
      </c>
      <c r="V310" t="str">
        <f>Budget!$O$5</f>
        <v>Netflix</v>
      </c>
      <c r="W310" t="str">
        <f>Budget!$O$6</f>
        <v>Spotify</v>
      </c>
      <c r="X310" t="str">
        <f>Budget!$O$7</f>
        <v>Rocket Money</v>
      </c>
      <c r="Y310" t="str">
        <f>Budget!$O$8</f>
        <v>Little4Much</v>
      </c>
      <c r="Z310" t="str">
        <f>Budget!$O$9</f>
        <v>None</v>
      </c>
      <c r="AA310" s="10"/>
      <c r="AC310" s="3">
        <f>AD309+AC309</f>
        <v>70.579999999999927</v>
      </c>
    </row>
    <row r="311" spans="1:30" x14ac:dyDescent="0.3">
      <c r="A311" s="4">
        <f>A310</f>
        <v>45931</v>
      </c>
      <c r="B311" s="2">
        <f>B306+AA311</f>
        <v>4125.8599999999997</v>
      </c>
      <c r="C311" s="7">
        <f>IF(B311&gt;B306,2,IF(B311=B306, 1,0))</f>
        <v>0</v>
      </c>
      <c r="D311" s="1">
        <v>0</v>
      </c>
      <c r="E311" s="17">
        <f>N("PAY-LM")+IF(WEEKDAY(A311)=Budget!$C$3,Budget!$B$3,0)</f>
        <v>0</v>
      </c>
      <c r="F311" s="17">
        <f>N("Rent")-IF(DAY(A311)=Budget!$G$3,Budget!$F$3,0)</f>
        <v>-1733</v>
      </c>
      <c r="G311" s="17">
        <f>N("Car")-IF(DAY(A311)=Budget!$G$4,Budget!$F$4+Budget!$H$4,0)</f>
        <v>0</v>
      </c>
      <c r="H311" s="17">
        <f>N("Mom Rent")-IF(DAY(A311)=Budget!$G$5,Budget!$F$5,0)</f>
        <v>0</v>
      </c>
      <c r="I311" s="17">
        <f>N("AT&amp;T")-IF(DAY(A311)=Budget!$G$8,Budget!$F$8,0)</f>
        <v>0</v>
      </c>
      <c r="J311" s="17">
        <f>N("GA Power")-IF(DAY(A311)=Budget!$G$9,Budget!$F$9,0)</f>
        <v>0</v>
      </c>
      <c r="K311" s="17">
        <f>N("Haircut")-IF(DAY(A311)=Budget!$G$10,Budget!$F$10,0)</f>
        <v>0</v>
      </c>
      <c r="L311" s="17">
        <f>N("Groceries")-IF(DAY(A311)=Budget!$G$6,Budget!$F$6,0)</f>
        <v>0</v>
      </c>
      <c r="M311" s="17">
        <f>N("Savings")-IF(DAY(A311)=Budget!$G$7,Budget!$F$7,0)</f>
        <v>0</v>
      </c>
      <c r="N311" s="17">
        <f>N("Car Insurance")-COUNTIF(Budget!$G$14, A311)*Budget!$F$14</f>
        <v>0</v>
      </c>
      <c r="O311" s="17">
        <f>N("Phone Bill")-COUNTIF(Budget!$G$15, A311)*Budget!$F$15</f>
        <v>0</v>
      </c>
      <c r="Q311" s="17">
        <f>N("Spotify")-IF(AND(DAY($A311)=Budget!$M$3, MONTH($A311)=Budget!$L$3),Budget!$K$3,0)</f>
        <v>0</v>
      </c>
      <c r="R311" s="17">
        <f>N("Spotify")-IF(AND(DAY($A311)=Budget!$M$4, MONTH($A311)=Budget!$L$4),Budget!$K$4,0)</f>
        <v>0</v>
      </c>
      <c r="S311" s="17">
        <f>N("Spotify")-IF(AND(DAY($A311)=Budget!$M$5, MONTH($A311)=Budget!$L$5),Budget!$K$5,0)</f>
        <v>0</v>
      </c>
      <c r="T311" s="17">
        <f>N("Amazon Prime")-IF(DAY(A311)=Budget!$Q$3,Budget!$P$3,0)</f>
        <v>0</v>
      </c>
      <c r="U311" s="17">
        <f>N("Audible")-IF(DAY(A311)=Budget!$Q$12,Budget!$P$12,0)</f>
        <v>0</v>
      </c>
      <c r="V311" s="17">
        <f>N("Crunchyroll")-IF(DAY(A311)=Budget!$Q$5,Budget!$P$5,0)</f>
        <v>0</v>
      </c>
      <c r="W311" s="17">
        <f>N("HBO Max")-IF(DAY(A311)=Budget!$Q$6,Budget!$P$6,0)</f>
        <v>0</v>
      </c>
      <c r="X311" s="17">
        <f>N("Netflix")-IF(DAY(A311)=Budget!$Q$7,Budget!$P$7,0)</f>
        <v>0</v>
      </c>
      <c r="Y311" s="17">
        <f>N("Spotify")-IF(DAY(A311)=Budget!$Q$8,Budget!$P$8,0)</f>
        <v>0</v>
      </c>
      <c r="Z311" s="17">
        <f>N("Truebill")-IF(DAY(A311)=Budget!$Q$9,Budget!$P$9,0)</f>
        <v>0</v>
      </c>
      <c r="AA311" s="6">
        <f t="shared" ref="AA311:AA341" si="36">SUM(D311:Z311)</f>
        <v>-1733</v>
      </c>
    </row>
    <row r="312" spans="1:30" x14ac:dyDescent="0.3">
      <c r="A312" s="4">
        <f>A311+1</f>
        <v>45932</v>
      </c>
      <c r="B312" s="2">
        <f t="shared" ref="B312:B341" si="37">B311+AA312</f>
        <v>3322.5099999999998</v>
      </c>
      <c r="C312" s="7">
        <f>IF(B312&gt;B311,2,IF(B312=B311, 1,0))</f>
        <v>0</v>
      </c>
      <c r="D312" s="1">
        <v>0</v>
      </c>
      <c r="E312" s="17">
        <f>N("PAY-LM")+IF(WEEKDAY(A312)=Budget!$C$3,Budget!$B$3,0)</f>
        <v>0</v>
      </c>
      <c r="F312" s="17">
        <f>N("Rent")-IF(DAY(A312)=Budget!$G$3,Budget!$F$3,0)</f>
        <v>0</v>
      </c>
      <c r="G312" s="17">
        <f>N("Car")-IF(DAY(A312)=Budget!$G$4,Budget!$F$4+Budget!$H$4,0)</f>
        <v>-503.35</v>
      </c>
      <c r="H312" s="17">
        <f>N("Mom Rent")-IF(DAY(A312)=Budget!$G$5,Budget!$F$5,0)</f>
        <v>0</v>
      </c>
      <c r="I312" s="17">
        <f>N("AT&amp;T")-IF(DAY(A312)=Budget!$G$8,Budget!$F$8,0)</f>
        <v>0</v>
      </c>
      <c r="J312" s="17">
        <f>N("GA Power")-IF(DAY(A312)=Budget!$G$9,Budget!$F$9,0)</f>
        <v>0</v>
      </c>
      <c r="K312" s="17">
        <f>N("Haircut")-IF(DAY(A312)=Budget!$G$10,Budget!$F$10,0)</f>
        <v>0</v>
      </c>
      <c r="L312" s="17">
        <f>N("Groceries")-IF(DAY(A312)=Budget!$G$6,Budget!$F$6,0)</f>
        <v>-300</v>
      </c>
      <c r="M312" s="17">
        <f>N("Savings")-IF(DAY(A312)=Budget!$G$7,Budget!$F$7,0)</f>
        <v>0</v>
      </c>
      <c r="N312" s="17">
        <f>N("Car Insurance")-COUNTIF(Budget!$G$14, A312)*Budget!$F$14</f>
        <v>0</v>
      </c>
      <c r="O312" s="17">
        <f>N("Phone Bill")-COUNTIF(Budget!$G$15, A312)*Budget!$F$15</f>
        <v>0</v>
      </c>
      <c r="Q312" s="17">
        <f>N("Spotify")-IF(AND(DAY($A312)=Budget!$M$3, MONTH($A312)=Budget!$L$3),Budget!$K$3,0)</f>
        <v>0</v>
      </c>
      <c r="R312" s="17">
        <f>N("Spotify")-IF(AND(DAY($A312)=Budget!$M$4, MONTH($A312)=Budget!$L$4),Budget!$K$4,0)</f>
        <v>0</v>
      </c>
      <c r="S312" s="17">
        <f>N("Spotify")-IF(AND(DAY($A312)=Budget!$M$5, MONTH($A312)=Budget!$L$5),Budget!$K$5,0)</f>
        <v>0</v>
      </c>
      <c r="T312" s="17">
        <f>N("Amazon Prime")-IF(DAY(A312)=Budget!$Q$3,Budget!$P$3,0)</f>
        <v>0</v>
      </c>
      <c r="U312" s="17">
        <f>N("Audible")-IF(DAY(A312)=Budget!$Q$12,Budget!$P$12,0)</f>
        <v>0</v>
      </c>
      <c r="V312" s="17">
        <f>N("Crunchyroll")-IF(DAY(A312)=Budget!$Q$5,Budget!$P$5,0)</f>
        <v>0</v>
      </c>
      <c r="W312" s="17">
        <f>N("HBO Max")-IF(DAY(A312)=Budget!$Q$6,Budget!$P$6,0)</f>
        <v>0</v>
      </c>
      <c r="X312" s="17">
        <f>N("Netflix")-IF(DAY(A312)=Budget!$Q$7,Budget!$P$7,0)</f>
        <v>0</v>
      </c>
      <c r="Y312" s="17">
        <f>N("Spotify")-IF(DAY(A312)=Budget!$Q$8,Budget!$P$8,0)</f>
        <v>0</v>
      </c>
      <c r="Z312" s="17">
        <f>N("Truebill")-IF(DAY(A312)=Budget!$Q$9,Budget!$P$9,0)</f>
        <v>0</v>
      </c>
      <c r="AA312" s="6">
        <f t="shared" si="36"/>
        <v>-803.35</v>
      </c>
    </row>
    <row r="313" spans="1:30" x14ac:dyDescent="0.3">
      <c r="A313" s="4">
        <f t="shared" ref="A313:A341" si="38">A312+1</f>
        <v>45933</v>
      </c>
      <c r="B313" s="2">
        <f t="shared" si="37"/>
        <v>4775.51</v>
      </c>
      <c r="C313" s="7">
        <f t="shared" ref="C313:C338" si="39">IF(B313&gt;B312,2,IF(B313=B312, 1,0))</f>
        <v>2</v>
      </c>
      <c r="D313" s="1">
        <v>0</v>
      </c>
      <c r="E313" s="17">
        <f>N("PAY-LM")+IF(WEEKDAY(A313)=Budget!$C$3,Budget!$B$3,0)</f>
        <v>1453</v>
      </c>
      <c r="F313" s="17">
        <f>N("Rent")-IF(DAY(A313)=Budget!$G$3,Budget!$F$3,0)</f>
        <v>0</v>
      </c>
      <c r="G313" s="17">
        <f>N("Car")-IF(DAY(A313)=Budget!$G$4,Budget!$F$4+Budget!$H$4,0)</f>
        <v>0</v>
      </c>
      <c r="H313" s="17">
        <f>N("Mom Rent")-IF(DAY(A313)=Budget!$G$5,Budget!$F$5,0)</f>
        <v>0</v>
      </c>
      <c r="I313" s="17">
        <f>N("AT&amp;T")-IF(DAY(A313)=Budget!$G$8,Budget!$F$8,0)</f>
        <v>0</v>
      </c>
      <c r="J313" s="17">
        <f>N("GA Power")-IF(DAY(A313)=Budget!$G$9,Budget!$F$9,0)</f>
        <v>0</v>
      </c>
      <c r="K313" s="17">
        <f>N("Haircut")-IF(DAY(A313)=Budget!$G$10,Budget!$F$10,0)</f>
        <v>0</v>
      </c>
      <c r="L313" s="17">
        <f>N("Groceries")-IF(DAY(A313)=Budget!$G$6,Budget!$F$6,0)</f>
        <v>0</v>
      </c>
      <c r="M313" s="17">
        <f>N("Savings")-IF(DAY(A313)=Budget!$G$7,Budget!$F$7,0)</f>
        <v>0</v>
      </c>
      <c r="N313" s="17">
        <f>N("Car Insurance")-COUNTIF(Budget!$G$14, A313)*Budget!$F$14</f>
        <v>0</v>
      </c>
      <c r="O313" s="17">
        <f>N("Phone Bill")-COUNTIF(Budget!$G$15, A313)*Budget!$F$15</f>
        <v>0</v>
      </c>
      <c r="Q313" s="17">
        <f>N("Spotify")-IF(AND(DAY($A313)=Budget!$M$3, MONTH($A313)=Budget!$L$3),Budget!$K$3,0)</f>
        <v>0</v>
      </c>
      <c r="R313" s="17">
        <f>N("Spotify")-IF(AND(DAY($A313)=Budget!$M$4, MONTH($A313)=Budget!$L$4),Budget!$K$4,0)</f>
        <v>0</v>
      </c>
      <c r="S313" s="17">
        <f>N("Spotify")-IF(AND(DAY($A313)=Budget!$M$5, MONTH($A313)=Budget!$L$5),Budget!$K$5,0)</f>
        <v>0</v>
      </c>
      <c r="T313" s="17">
        <f>N("Amazon Prime")-IF(DAY(A313)=Budget!$Q$3,Budget!$P$3,0)</f>
        <v>0</v>
      </c>
      <c r="U313" s="17">
        <f>N("Audible")-IF(DAY(A313)=Budget!$Q$12,Budget!$P$12,0)</f>
        <v>0</v>
      </c>
      <c r="V313" s="17">
        <f>N("Crunchyroll")-IF(DAY(A313)=Budget!$Q$5,Budget!$P$5,0)</f>
        <v>0</v>
      </c>
      <c r="W313" s="17">
        <f>N("HBO Max")-IF(DAY(A313)=Budget!$Q$6,Budget!$P$6,0)</f>
        <v>0</v>
      </c>
      <c r="X313" s="17">
        <f>N("Netflix")-IF(DAY(A313)=Budget!$Q$7,Budget!$P$7,0)</f>
        <v>0</v>
      </c>
      <c r="Y313" s="17">
        <f>N("Spotify")-IF(DAY(A313)=Budget!$Q$8,Budget!$P$8,0)</f>
        <v>0</v>
      </c>
      <c r="Z313" s="17">
        <f>N("Truebill")-IF(DAY(A313)=Budget!$Q$9,Budget!$P$9,0)</f>
        <v>0</v>
      </c>
      <c r="AA313" s="6">
        <f t="shared" si="36"/>
        <v>1453</v>
      </c>
    </row>
    <row r="314" spans="1:30" x14ac:dyDescent="0.3">
      <c r="A314" s="4">
        <f t="shared" si="38"/>
        <v>45934</v>
      </c>
      <c r="B314" s="2">
        <f t="shared" si="37"/>
        <v>4775.51</v>
      </c>
      <c r="C314" s="7">
        <f t="shared" si="39"/>
        <v>1</v>
      </c>
      <c r="D314" s="1">
        <v>0</v>
      </c>
      <c r="E314" s="17">
        <f>N("PAY-LM")+IF(WEEKDAY(A314)=Budget!$C$3,Budget!$B$3,0)</f>
        <v>0</v>
      </c>
      <c r="F314" s="17">
        <f>N("Rent")-IF(DAY(A314)=Budget!$G$3,Budget!$F$3,0)</f>
        <v>0</v>
      </c>
      <c r="G314" s="17">
        <f>N("Car")-IF(DAY(A314)=Budget!$G$4,Budget!$F$4+Budget!$H$4,0)</f>
        <v>0</v>
      </c>
      <c r="H314" s="17">
        <f>N("Mom Rent")-IF(DAY(A314)=Budget!$G$5,Budget!$F$5,0)</f>
        <v>0</v>
      </c>
      <c r="I314" s="17">
        <f>N("AT&amp;T")-IF(DAY(A314)=Budget!$G$8,Budget!$F$8,0)</f>
        <v>0</v>
      </c>
      <c r="J314" s="17">
        <f>N("GA Power")-IF(DAY(A314)=Budget!$G$9,Budget!$F$9,0)</f>
        <v>0</v>
      </c>
      <c r="K314" s="17">
        <f>N("Haircut")-IF(DAY(A314)=Budget!$G$10,Budget!$F$10,0)</f>
        <v>0</v>
      </c>
      <c r="L314" s="17">
        <f>N("Groceries")-IF(DAY(A314)=Budget!$G$6,Budget!$F$6,0)</f>
        <v>0</v>
      </c>
      <c r="M314" s="17">
        <f>N("Savings")-IF(DAY(A314)=Budget!$G$7,Budget!$F$7,0)</f>
        <v>0</v>
      </c>
      <c r="N314" s="17">
        <f>N("Car Insurance")-COUNTIF(Budget!$G$14, A314)*Budget!$F$14</f>
        <v>0</v>
      </c>
      <c r="O314" s="17">
        <f>N("Phone Bill")-COUNTIF(Budget!$G$15, A314)*Budget!$F$15</f>
        <v>0</v>
      </c>
      <c r="Q314" s="17">
        <f>N("Spotify")-IF(AND(DAY($A314)=Budget!$M$3, MONTH($A314)=Budget!$L$3),Budget!$K$3,0)</f>
        <v>0</v>
      </c>
      <c r="R314" s="17">
        <f>N("Spotify")-IF(AND(DAY($A314)=Budget!$M$4, MONTH($A314)=Budget!$L$4),Budget!$K$4,0)</f>
        <v>0</v>
      </c>
      <c r="S314" s="17">
        <f>N("Spotify")-IF(AND(DAY($A314)=Budget!$M$5, MONTH($A314)=Budget!$L$5),Budget!$K$5,0)</f>
        <v>0</v>
      </c>
      <c r="T314" s="17">
        <f>N("Amazon Prime")-IF(DAY(A314)=Budget!$Q$3,Budget!$P$3,0)</f>
        <v>0</v>
      </c>
      <c r="U314" s="17">
        <f>N("Audible")-IF(DAY(A314)=Budget!$Q$12,Budget!$P$12,0)</f>
        <v>0</v>
      </c>
      <c r="V314" s="17">
        <f>N("Crunchyroll")-IF(DAY(A314)=Budget!$Q$5,Budget!$P$5,0)</f>
        <v>0</v>
      </c>
      <c r="W314" s="17">
        <f>N("HBO Max")-IF(DAY(A314)=Budget!$Q$6,Budget!$P$6,0)</f>
        <v>0</v>
      </c>
      <c r="X314" s="17">
        <f>N("Netflix")-IF(DAY(A314)=Budget!$Q$7,Budget!$P$7,0)</f>
        <v>0</v>
      </c>
      <c r="Y314" s="17">
        <f>N("Spotify")-IF(DAY(A314)=Budget!$Q$8,Budget!$P$8,0)</f>
        <v>0</v>
      </c>
      <c r="Z314" s="17">
        <f>N("Truebill")-IF(DAY(A314)=Budget!$Q$9,Budget!$P$9,0)</f>
        <v>0</v>
      </c>
      <c r="AA314" s="6">
        <f t="shared" si="36"/>
        <v>0</v>
      </c>
    </row>
    <row r="315" spans="1:30" x14ac:dyDescent="0.3">
      <c r="A315" s="4">
        <f t="shared" si="38"/>
        <v>45935</v>
      </c>
      <c r="B315" s="2">
        <f t="shared" si="37"/>
        <v>4705.51</v>
      </c>
      <c r="C315" s="7">
        <f t="shared" si="39"/>
        <v>0</v>
      </c>
      <c r="D315" s="1">
        <v>0</v>
      </c>
      <c r="E315" s="17">
        <f>N("PAY-LM")+IF(WEEKDAY(A315)=Budget!$C$3,Budget!$B$3,0)</f>
        <v>0</v>
      </c>
      <c r="F315" s="17">
        <f>N("Rent")-IF(DAY(A315)=Budget!$G$3,Budget!$F$3,0)</f>
        <v>0</v>
      </c>
      <c r="G315" s="17">
        <f>N("Car")-IF(DAY(A315)=Budget!$G$4,Budget!$F$4+Budget!$H$4,0)</f>
        <v>0</v>
      </c>
      <c r="H315" s="17">
        <f>N("Mom Rent")-IF(DAY(A315)=Budget!$G$5,Budget!$F$5,0)</f>
        <v>0</v>
      </c>
      <c r="I315" s="17">
        <f>N("AT&amp;T")-IF(DAY(A315)=Budget!$G$8,Budget!$F$8,0)</f>
        <v>0</v>
      </c>
      <c r="J315" s="17">
        <f>N("GA Power")-IF(DAY(A315)=Budget!$G$9,Budget!$F$9,0)</f>
        <v>-70</v>
      </c>
      <c r="K315" s="17">
        <f>N("Haircut")-IF(DAY(A315)=Budget!$G$10,Budget!$F$10,0)</f>
        <v>0</v>
      </c>
      <c r="L315" s="17">
        <f>N("Groceries")-IF(DAY(A315)=Budget!$G$6,Budget!$F$6,0)</f>
        <v>0</v>
      </c>
      <c r="M315" s="17">
        <f>N("Savings")-IF(DAY(A315)=Budget!$G$7,Budget!$F$7,0)</f>
        <v>0</v>
      </c>
      <c r="N315" s="17">
        <f>N("Car Insurance")-COUNTIF(Budget!$G$14, A315)*Budget!$F$14</f>
        <v>0</v>
      </c>
      <c r="O315" s="17">
        <f>N("Phone Bill")-COUNTIF(Budget!$G$15, A315)*Budget!$F$15</f>
        <v>0</v>
      </c>
      <c r="Q315" s="17">
        <f>N("Spotify")-IF(AND(DAY($A315)=Budget!$M$3, MONTH($A315)=Budget!$L$3),Budget!$K$3,0)</f>
        <v>0</v>
      </c>
      <c r="R315" s="17">
        <f>N("Spotify")-IF(AND(DAY($A315)=Budget!$M$4, MONTH($A315)=Budget!$L$4),Budget!$K$4,0)</f>
        <v>0</v>
      </c>
      <c r="S315" s="17">
        <f>N("Spotify")-IF(AND(DAY($A315)=Budget!$M$5, MONTH($A315)=Budget!$L$5),Budget!$K$5,0)</f>
        <v>0</v>
      </c>
      <c r="T315" s="17">
        <f>N("Amazon Prime")-IF(DAY(A315)=Budget!$Q$3,Budget!$P$3,0)</f>
        <v>0</v>
      </c>
      <c r="U315" s="17">
        <f>N("Audible")-IF(DAY(A315)=Budget!$Q$12,Budget!$P$12,0)</f>
        <v>0</v>
      </c>
      <c r="V315" s="17">
        <f>N("Crunchyroll")-IF(DAY(A315)=Budget!$Q$5,Budget!$P$5,0)</f>
        <v>0</v>
      </c>
      <c r="W315" s="17">
        <f>N("HBO Max")-IF(DAY(A315)=Budget!$Q$6,Budget!$P$6,0)</f>
        <v>0</v>
      </c>
      <c r="X315" s="17">
        <f>N("Netflix")-IF(DAY(A315)=Budget!$Q$7,Budget!$P$7,0)</f>
        <v>0</v>
      </c>
      <c r="Y315" s="17">
        <f>N("Spotify")-IF(DAY(A315)=Budget!$Q$8,Budget!$P$8,0)</f>
        <v>0</v>
      </c>
      <c r="Z315" s="17">
        <f>N("Truebill")-IF(DAY(A315)=Budget!$Q$9,Budget!$P$9,0)</f>
        <v>0</v>
      </c>
      <c r="AA315" s="6">
        <f t="shared" si="36"/>
        <v>-70</v>
      </c>
    </row>
    <row r="316" spans="1:30" x14ac:dyDescent="0.3">
      <c r="A316" s="4">
        <f t="shared" si="38"/>
        <v>45936</v>
      </c>
      <c r="B316" s="2">
        <f t="shared" si="37"/>
        <v>4705.51</v>
      </c>
      <c r="C316" s="7">
        <f t="shared" si="39"/>
        <v>1</v>
      </c>
      <c r="D316" s="1">
        <v>0</v>
      </c>
      <c r="E316" s="17">
        <f>N("PAY-LM")+IF(WEEKDAY(A316)=Budget!$C$3,Budget!$B$3,0)</f>
        <v>0</v>
      </c>
      <c r="F316" s="17">
        <f>N("Rent")-IF(DAY(A316)=Budget!$G$3,Budget!$F$3,0)</f>
        <v>0</v>
      </c>
      <c r="G316" s="17">
        <f>N("Car")-IF(DAY(A316)=Budget!$G$4,Budget!$F$4+Budget!$H$4,0)</f>
        <v>0</v>
      </c>
      <c r="H316" s="17">
        <f>N("Mom Rent")-IF(DAY(A316)=Budget!$G$5,Budget!$F$5,0)</f>
        <v>0</v>
      </c>
      <c r="I316" s="17">
        <f>N("AT&amp;T")-IF(DAY(A316)=Budget!$G$8,Budget!$F$8,0)</f>
        <v>0</v>
      </c>
      <c r="J316" s="17">
        <f>N("GA Power")-IF(DAY(A316)=Budget!$G$9,Budget!$F$9,0)</f>
        <v>0</v>
      </c>
      <c r="K316" s="17">
        <f>N("Haircut")-IF(DAY(A316)=Budget!$G$10,Budget!$F$10,0)</f>
        <v>0</v>
      </c>
      <c r="L316" s="17">
        <f>N("Groceries")-IF(DAY(A316)=Budget!$G$6,Budget!$F$6,0)</f>
        <v>0</v>
      </c>
      <c r="M316" s="17">
        <f>N("Savings")-IF(DAY(A316)=Budget!$G$7,Budget!$F$7,0)</f>
        <v>0</v>
      </c>
      <c r="N316" s="17">
        <f>N("Car Insurance")-COUNTIF(Budget!$G$14, A316)*Budget!$F$14</f>
        <v>0</v>
      </c>
      <c r="O316" s="17">
        <f>N("Phone Bill")-COUNTIF(Budget!$G$15, A316)*Budget!$F$15</f>
        <v>0</v>
      </c>
      <c r="Q316" s="17">
        <f>N("Spotify")-IF(AND(DAY($A316)=Budget!$M$3, MONTH($A316)=Budget!$L$3),Budget!$K$3,0)</f>
        <v>0</v>
      </c>
      <c r="R316" s="17">
        <f>N("Spotify")-IF(AND(DAY($A316)=Budget!$M$4, MONTH($A316)=Budget!$L$4),Budget!$K$4,0)</f>
        <v>0</v>
      </c>
      <c r="S316" s="17">
        <f>N("Spotify")-IF(AND(DAY($A316)=Budget!$M$5, MONTH($A316)=Budget!$L$5),Budget!$K$5,0)</f>
        <v>0</v>
      </c>
      <c r="T316" s="17">
        <f>N("Amazon Prime")-IF(DAY(A316)=Budget!$Q$3,Budget!$P$3,0)</f>
        <v>0</v>
      </c>
      <c r="U316" s="17">
        <f>N("Audible")-IF(DAY(A316)=Budget!$Q$12,Budget!$P$12,0)</f>
        <v>0</v>
      </c>
      <c r="V316" s="17">
        <f>N("Crunchyroll")-IF(DAY(A316)=Budget!$Q$5,Budget!$P$5,0)</f>
        <v>0</v>
      </c>
      <c r="W316" s="17">
        <f>N("HBO Max")-IF(DAY(A316)=Budget!$Q$6,Budget!$P$6,0)</f>
        <v>0</v>
      </c>
      <c r="X316" s="17">
        <f>N("Netflix")-IF(DAY(A316)=Budget!$Q$7,Budget!$P$7,0)</f>
        <v>0</v>
      </c>
      <c r="Y316" s="17">
        <f>N("Spotify")-IF(DAY(A316)=Budget!$Q$8,Budget!$P$8,0)</f>
        <v>0</v>
      </c>
      <c r="Z316" s="17">
        <f>N("Truebill")-IF(DAY(A316)=Budget!$Q$9,Budget!$P$9,0)</f>
        <v>0</v>
      </c>
      <c r="AA316" s="6">
        <f t="shared" si="36"/>
        <v>0</v>
      </c>
    </row>
    <row r="317" spans="1:30" x14ac:dyDescent="0.3">
      <c r="A317" s="4">
        <f t="shared" si="38"/>
        <v>45937</v>
      </c>
      <c r="B317" s="2">
        <f t="shared" si="37"/>
        <v>4705.51</v>
      </c>
      <c r="C317" s="7">
        <f t="shared" si="39"/>
        <v>1</v>
      </c>
      <c r="D317" s="1">
        <v>0</v>
      </c>
      <c r="E317" s="17">
        <f>N("PAY-LM")+IF(WEEKDAY(A317)=Budget!$C$3,Budget!$B$3,0)</f>
        <v>0</v>
      </c>
      <c r="F317" s="17">
        <f>N("Rent")-IF(DAY(A317)=Budget!$G$3,Budget!$F$3,0)</f>
        <v>0</v>
      </c>
      <c r="G317" s="17">
        <f>N("Car")-IF(DAY(A317)=Budget!$G$4,Budget!$F$4+Budget!$H$4,0)</f>
        <v>0</v>
      </c>
      <c r="H317" s="17">
        <f>N("Mom Rent")-IF(DAY(A317)=Budget!$G$5,Budget!$F$5,0)</f>
        <v>0</v>
      </c>
      <c r="I317" s="17">
        <f>N("AT&amp;T")-IF(DAY(A317)=Budget!$G$8,Budget!$F$8,0)</f>
        <v>0</v>
      </c>
      <c r="J317" s="17">
        <f>N("GA Power")-IF(DAY(A317)=Budget!$G$9,Budget!$F$9,0)</f>
        <v>0</v>
      </c>
      <c r="K317" s="17">
        <f>N("Haircut")-IF(DAY(A317)=Budget!$G$10,Budget!$F$10,0)</f>
        <v>0</v>
      </c>
      <c r="L317" s="17">
        <f>N("Groceries")-IF(DAY(A317)=Budget!$G$6,Budget!$F$6,0)</f>
        <v>0</v>
      </c>
      <c r="M317" s="17">
        <f>N("Savings")-IF(DAY(A317)=Budget!$G$7,Budget!$F$7,0)</f>
        <v>0</v>
      </c>
      <c r="N317" s="17">
        <f>N("Car Insurance")-COUNTIF(Budget!$G$14, A317)*Budget!$F$14</f>
        <v>0</v>
      </c>
      <c r="O317" s="17">
        <f>N("Phone Bill")-COUNTIF(Budget!$G$15, A317)*Budget!$F$15</f>
        <v>0</v>
      </c>
      <c r="Q317" s="17">
        <f>N("Spotify")-IF(AND(DAY($A317)=Budget!$M$3, MONTH($A317)=Budget!$L$3),Budget!$K$3,0)</f>
        <v>0</v>
      </c>
      <c r="R317" s="17">
        <f>N("Spotify")-IF(AND(DAY($A317)=Budget!$M$4, MONTH($A317)=Budget!$L$4),Budget!$K$4,0)</f>
        <v>0</v>
      </c>
      <c r="S317" s="17">
        <f>N("Spotify")-IF(AND(DAY($A317)=Budget!$M$5, MONTH($A317)=Budget!$L$5),Budget!$K$5,0)</f>
        <v>0</v>
      </c>
      <c r="T317" s="17">
        <f>N("Amazon Prime")-IF(DAY(A317)=Budget!$Q$3,Budget!$P$3,0)</f>
        <v>0</v>
      </c>
      <c r="U317" s="17">
        <f>N("Audible")-IF(DAY(A317)=Budget!$Q$12,Budget!$P$12,0)</f>
        <v>0</v>
      </c>
      <c r="V317" s="17">
        <f>N("Crunchyroll")-IF(DAY(A317)=Budget!$Q$5,Budget!$P$5,0)</f>
        <v>0</v>
      </c>
      <c r="W317" s="17">
        <f>N("HBO Max")-IF(DAY(A317)=Budget!$Q$6,Budget!$P$6,0)</f>
        <v>0</v>
      </c>
      <c r="X317" s="17">
        <f>N("Netflix")-IF(DAY(A317)=Budget!$Q$7,Budget!$P$7,0)</f>
        <v>0</v>
      </c>
      <c r="Y317" s="17">
        <f>N("Spotify")-IF(DAY(A317)=Budget!$Q$8,Budget!$P$8,0)</f>
        <v>0</v>
      </c>
      <c r="Z317" s="17">
        <f>N("Truebill")-IF(DAY(A317)=Budget!$Q$9,Budget!$P$9,0)</f>
        <v>0</v>
      </c>
      <c r="AA317" s="6">
        <f t="shared" si="36"/>
        <v>0</v>
      </c>
    </row>
    <row r="318" spans="1:30" x14ac:dyDescent="0.3">
      <c r="A318" s="4">
        <f t="shared" si="38"/>
        <v>45938</v>
      </c>
      <c r="B318" s="2">
        <f t="shared" si="37"/>
        <v>4686.04</v>
      </c>
      <c r="C318" s="7">
        <f t="shared" si="39"/>
        <v>0</v>
      </c>
      <c r="D318" s="1">
        <v>0</v>
      </c>
      <c r="E318" s="17">
        <f>N("PAY-LM")+IF(WEEKDAY(A318)=Budget!$C$3,Budget!$B$3,0)</f>
        <v>0</v>
      </c>
      <c r="F318" s="17">
        <f>N("Rent")-IF(DAY(A318)=Budget!$G$3,Budget!$F$3,0)</f>
        <v>0</v>
      </c>
      <c r="G318" s="17">
        <f>N("Car")-IF(DAY(A318)=Budget!$G$4,Budget!$F$4+Budget!$H$4,0)</f>
        <v>0</v>
      </c>
      <c r="H318" s="17">
        <f>N("Mom Rent")-IF(DAY(A318)=Budget!$G$5,Budget!$F$5,0)</f>
        <v>0</v>
      </c>
      <c r="I318" s="17">
        <f>N("AT&amp;T")-IF(DAY(A318)=Budget!$G$8,Budget!$F$8,0)</f>
        <v>0</v>
      </c>
      <c r="J318" s="17">
        <f>N("GA Power")-IF(DAY(A318)=Budget!$G$9,Budget!$F$9,0)</f>
        <v>0</v>
      </c>
      <c r="K318" s="17">
        <f>N("Haircut")-IF(DAY(A318)=Budget!$G$10,Budget!$F$10,0)</f>
        <v>0</v>
      </c>
      <c r="L318" s="17">
        <f>N("Groceries")-IF(DAY(A318)=Budget!$G$6,Budget!$F$6,0)</f>
        <v>0</v>
      </c>
      <c r="M318" s="17">
        <f>N("Savings")-IF(DAY(A318)=Budget!$G$7,Budget!$F$7,0)</f>
        <v>0</v>
      </c>
      <c r="N318" s="17">
        <f>N("Car Insurance")-COUNTIF(Budget!$G$14, A318)*Budget!$F$14</f>
        <v>0</v>
      </c>
      <c r="O318" s="17">
        <f>N("Phone Bill")-COUNTIF(Budget!$G$15, A318)*Budget!$F$15</f>
        <v>0</v>
      </c>
      <c r="Q318" s="17">
        <f>N("Spotify")-IF(AND(DAY($A318)=Budget!$M$3, MONTH($A318)=Budget!$L$3),Budget!$K$3,0)</f>
        <v>0</v>
      </c>
      <c r="R318" s="17">
        <f>N("Spotify")-IF(AND(DAY($A318)=Budget!$M$4, MONTH($A318)=Budget!$L$4),Budget!$K$4,0)</f>
        <v>0</v>
      </c>
      <c r="S318" s="17">
        <f>N("Spotify")-IF(AND(DAY($A318)=Budget!$M$5, MONTH($A318)=Budget!$L$5),Budget!$K$5,0)</f>
        <v>0</v>
      </c>
      <c r="T318" s="17">
        <f>N("Amazon Prime")-IF(DAY(A318)=Budget!$Q$3,Budget!$P$3,0)</f>
        <v>-7.48</v>
      </c>
      <c r="U318" s="17">
        <f>N("Audible")-IF(DAY(A318)=Budget!$Q$12,Budget!$P$12,0)</f>
        <v>0</v>
      </c>
      <c r="V318" s="17">
        <f>N("Crunchyroll")-IF(DAY(A318)=Budget!$Q$5,Budget!$P$5,0)</f>
        <v>0</v>
      </c>
      <c r="W318" s="17">
        <f>N("HBO Max")-IF(DAY(A318)=Budget!$Q$6,Budget!$P$6,0)</f>
        <v>-11.99</v>
      </c>
      <c r="X318" s="17">
        <f>N("Netflix")-IF(DAY(A318)=Budget!$Q$7,Budget!$P$7,0)</f>
        <v>0</v>
      </c>
      <c r="Y318" s="17">
        <f>N("Spotify")-IF(DAY(A318)=Budget!$Q$8,Budget!$P$8,0)</f>
        <v>0</v>
      </c>
      <c r="Z318" s="17">
        <f>N("Truebill")-IF(DAY(A318)=Budget!$Q$9,Budget!$P$9,0)</f>
        <v>0</v>
      </c>
      <c r="AA318" s="6">
        <f t="shared" si="36"/>
        <v>-19.47</v>
      </c>
    </row>
    <row r="319" spans="1:30" x14ac:dyDescent="0.3">
      <c r="A319" s="4">
        <f t="shared" si="38"/>
        <v>45939</v>
      </c>
      <c r="B319" s="2">
        <f t="shared" si="37"/>
        <v>4686.04</v>
      </c>
      <c r="C319" s="7">
        <f t="shared" si="39"/>
        <v>1</v>
      </c>
      <c r="D319" s="1">
        <v>0</v>
      </c>
      <c r="E319" s="17">
        <f>N("PAY-LM")+IF(WEEKDAY(A319)=Budget!$C$3,Budget!$B$3,0)</f>
        <v>0</v>
      </c>
      <c r="F319" s="17">
        <f>N("Rent")-IF(DAY(A319)=Budget!$G$3,Budget!$F$3,0)</f>
        <v>0</v>
      </c>
      <c r="G319" s="17">
        <f>N("Car")-IF(DAY(A319)=Budget!$G$4,Budget!$F$4+Budget!$H$4,0)</f>
        <v>0</v>
      </c>
      <c r="H319" s="17">
        <f>N("Mom Rent")-IF(DAY(A319)=Budget!$G$5,Budget!$F$5,0)</f>
        <v>0</v>
      </c>
      <c r="I319" s="17">
        <f>N("AT&amp;T")-IF(DAY(A319)=Budget!$G$8,Budget!$F$8,0)</f>
        <v>0</v>
      </c>
      <c r="J319" s="17">
        <f>N("GA Power")-IF(DAY(A319)=Budget!$G$9,Budget!$F$9,0)</f>
        <v>0</v>
      </c>
      <c r="K319" s="17">
        <f>N("Haircut")-IF(DAY(A319)=Budget!$G$10,Budget!$F$10,0)</f>
        <v>0</v>
      </c>
      <c r="L319" s="17">
        <f>N("Groceries")-IF(DAY(A319)=Budget!$G$6,Budget!$F$6,0)</f>
        <v>0</v>
      </c>
      <c r="M319" s="17">
        <f>N("Savings")-IF(DAY(A319)=Budget!$G$7,Budget!$F$7,0)</f>
        <v>0</v>
      </c>
      <c r="N319" s="17">
        <f>N("Car Insurance")-COUNTIF(Budget!$G$14, A319)*Budget!$F$14</f>
        <v>0</v>
      </c>
      <c r="O319" s="17">
        <f>N("Phone Bill")-COUNTIF(Budget!$G$15, A319)*Budget!$F$15</f>
        <v>0</v>
      </c>
      <c r="Q319" s="17">
        <f>N("Spotify")-IF(AND(DAY($A319)=Budget!$M$3, MONTH($A319)=Budget!$L$3),Budget!$K$3,0)</f>
        <v>0</v>
      </c>
      <c r="R319" s="17">
        <f>N("Spotify")-IF(AND(DAY($A319)=Budget!$M$4, MONTH($A319)=Budget!$L$4),Budget!$K$4,0)</f>
        <v>0</v>
      </c>
      <c r="S319" s="17">
        <f>N("Spotify")-IF(AND(DAY($A319)=Budget!$M$5, MONTH($A319)=Budget!$L$5),Budget!$K$5,0)</f>
        <v>0</v>
      </c>
      <c r="T319" s="17">
        <f>N("Amazon Prime")-IF(DAY(A319)=Budget!$Q$3,Budget!$P$3,0)</f>
        <v>0</v>
      </c>
      <c r="U319" s="17">
        <f>N("Audible")-IF(DAY(A319)=Budget!$Q$12,Budget!$P$12,0)</f>
        <v>0</v>
      </c>
      <c r="V319" s="17">
        <f>N("Crunchyroll")-IF(DAY(A319)=Budget!$Q$5,Budget!$P$5,0)</f>
        <v>0</v>
      </c>
      <c r="W319" s="17">
        <f>N("HBO Max")-IF(DAY(A319)=Budget!$Q$6,Budget!$P$6,0)</f>
        <v>0</v>
      </c>
      <c r="X319" s="17">
        <f>N("Netflix")-IF(DAY(A319)=Budget!$Q$7,Budget!$P$7,0)</f>
        <v>0</v>
      </c>
      <c r="Y319" s="17">
        <f>N("Spotify")-IF(DAY(A319)=Budget!$Q$8,Budget!$P$8,0)</f>
        <v>0</v>
      </c>
      <c r="Z319" s="17">
        <f>N("Truebill")-IF(DAY(A319)=Budget!$Q$9,Budget!$P$9,0)</f>
        <v>0</v>
      </c>
      <c r="AA319" s="6">
        <f t="shared" si="36"/>
        <v>0</v>
      </c>
    </row>
    <row r="320" spans="1:30" x14ac:dyDescent="0.3">
      <c r="A320" s="4">
        <f t="shared" si="38"/>
        <v>45940</v>
      </c>
      <c r="B320" s="2">
        <f t="shared" si="37"/>
        <v>6139.04</v>
      </c>
      <c r="C320" s="7">
        <f t="shared" si="39"/>
        <v>2</v>
      </c>
      <c r="D320" s="1">
        <v>0</v>
      </c>
      <c r="E320" s="17">
        <f>N("PAY-LM")+IF(WEEKDAY(A320)=Budget!$C$3,Budget!$B$3,0)</f>
        <v>1453</v>
      </c>
      <c r="F320" s="17">
        <f>N("Rent")-IF(DAY(A320)=Budget!$G$3,Budget!$F$3,0)</f>
        <v>0</v>
      </c>
      <c r="G320" s="17">
        <f>N("Car")-IF(DAY(A320)=Budget!$G$4,Budget!$F$4+Budget!$H$4,0)</f>
        <v>0</v>
      </c>
      <c r="H320" s="17">
        <f>N("Mom Rent")-IF(DAY(A320)=Budget!$G$5,Budget!$F$5,0)</f>
        <v>0</v>
      </c>
      <c r="I320" s="17">
        <f>N("AT&amp;T")-IF(DAY(A320)=Budget!$G$8,Budget!$F$8,0)</f>
        <v>0</v>
      </c>
      <c r="J320" s="17">
        <f>N("GA Power")-IF(DAY(A320)=Budget!$G$9,Budget!$F$9,0)</f>
        <v>0</v>
      </c>
      <c r="K320" s="17">
        <f>N("Haircut")-IF(DAY(A320)=Budget!$G$10,Budget!$F$10,0)</f>
        <v>0</v>
      </c>
      <c r="L320" s="17">
        <f>N("Groceries")-IF(DAY(A320)=Budget!$G$6,Budget!$F$6,0)</f>
        <v>0</v>
      </c>
      <c r="M320" s="17">
        <f>N("Savings")-IF(DAY(A320)=Budget!$G$7,Budget!$F$7,0)</f>
        <v>0</v>
      </c>
      <c r="N320" s="17">
        <f>N("Car Insurance")-COUNTIF(Budget!$G$14, A320)*Budget!$F$14</f>
        <v>0</v>
      </c>
      <c r="O320" s="17">
        <f>N("Phone Bill")-COUNTIF(Budget!$G$15, A320)*Budget!$F$15</f>
        <v>0</v>
      </c>
      <c r="Q320" s="17">
        <f>N("Spotify")-IF(AND(DAY($A320)=Budget!$M$3, MONTH($A320)=Budget!$L$3),Budget!$K$3,0)</f>
        <v>0</v>
      </c>
      <c r="R320" s="17">
        <f>N("Spotify")-IF(AND(DAY($A320)=Budget!$M$4, MONTH($A320)=Budget!$L$4),Budget!$K$4,0)</f>
        <v>0</v>
      </c>
      <c r="S320" s="17">
        <f>N("Spotify")-IF(AND(DAY($A320)=Budget!$M$5, MONTH($A320)=Budget!$L$5),Budget!$K$5,0)</f>
        <v>0</v>
      </c>
      <c r="T320" s="17">
        <f>N("Amazon Prime")-IF(DAY(A320)=Budget!$Q$3,Budget!$P$3,0)</f>
        <v>0</v>
      </c>
      <c r="U320" s="17">
        <f>N("Audible")-IF(DAY(A320)=Budget!$Q$12,Budget!$P$12,0)</f>
        <v>0</v>
      </c>
      <c r="V320" s="17">
        <f>N("Crunchyroll")-IF(DAY(A320)=Budget!$Q$5,Budget!$P$5,0)</f>
        <v>0</v>
      </c>
      <c r="W320" s="17">
        <f>N("HBO Max")-IF(DAY(A320)=Budget!$Q$6,Budget!$P$6,0)</f>
        <v>0</v>
      </c>
      <c r="X320" s="17">
        <f>N("Netflix")-IF(DAY(A320)=Budget!$Q$7,Budget!$P$7,0)</f>
        <v>0</v>
      </c>
      <c r="Y320" s="17">
        <f>N("Spotify")-IF(DAY(A320)=Budget!$Q$8,Budget!$P$8,0)</f>
        <v>0</v>
      </c>
      <c r="Z320" s="17">
        <f>N("Truebill")-IF(DAY(A320)=Budget!$Q$9,Budget!$P$9,0)</f>
        <v>0</v>
      </c>
      <c r="AA320" s="6">
        <f t="shared" si="36"/>
        <v>1453</v>
      </c>
    </row>
    <row r="321" spans="1:27" x14ac:dyDescent="0.3">
      <c r="A321" s="4">
        <f t="shared" si="38"/>
        <v>45941</v>
      </c>
      <c r="B321" s="2">
        <f t="shared" si="37"/>
        <v>6139.04</v>
      </c>
      <c r="C321" s="7">
        <f t="shared" si="39"/>
        <v>1</v>
      </c>
      <c r="D321" s="1">
        <v>0</v>
      </c>
      <c r="E321" s="17">
        <f>N("PAY-LM")+IF(WEEKDAY(A321)=Budget!$C$3,Budget!$B$3,0)</f>
        <v>0</v>
      </c>
      <c r="F321" s="17">
        <f>N("Rent")-IF(DAY(A321)=Budget!$G$3,Budget!$F$3,0)</f>
        <v>0</v>
      </c>
      <c r="G321" s="17">
        <f>N("Car")-IF(DAY(A321)=Budget!$G$4,Budget!$F$4+Budget!$H$4,0)</f>
        <v>0</v>
      </c>
      <c r="H321" s="17">
        <f>N("Mom Rent")-IF(DAY(A321)=Budget!$G$5,Budget!$F$5,0)</f>
        <v>0</v>
      </c>
      <c r="I321" s="17">
        <f>N("AT&amp;T")-IF(DAY(A321)=Budget!$G$8,Budget!$F$8,0)</f>
        <v>0</v>
      </c>
      <c r="J321" s="17">
        <f>N("GA Power")-IF(DAY(A321)=Budget!$G$9,Budget!$F$9,0)</f>
        <v>0</v>
      </c>
      <c r="K321" s="17">
        <f>N("Haircut")-IF(DAY(A321)=Budget!$G$10,Budget!$F$10,0)</f>
        <v>0</v>
      </c>
      <c r="L321" s="17">
        <f>N("Groceries")-IF(DAY(A321)=Budget!$G$6,Budget!$F$6,0)</f>
        <v>0</v>
      </c>
      <c r="M321" s="17">
        <f>N("Savings")-IF(DAY(A321)=Budget!$G$7,Budget!$F$7,0)</f>
        <v>0</v>
      </c>
      <c r="N321" s="17">
        <f>N("Car Insurance")-COUNTIF(Budget!$G$14, A321)*Budget!$F$14</f>
        <v>0</v>
      </c>
      <c r="O321" s="17">
        <f>N("Phone Bill")-COUNTIF(Budget!$G$15, A321)*Budget!$F$15</f>
        <v>0</v>
      </c>
      <c r="Q321" s="17">
        <f>N("Spotify")-IF(AND(DAY($A321)=Budget!$M$3, MONTH($A321)=Budget!$L$3),Budget!$K$3,0)</f>
        <v>0</v>
      </c>
      <c r="R321" s="17">
        <f>N("Spotify")-IF(AND(DAY($A321)=Budget!$M$4, MONTH($A321)=Budget!$L$4),Budget!$K$4,0)</f>
        <v>0</v>
      </c>
      <c r="S321" s="17">
        <f>N("Spotify")-IF(AND(DAY($A321)=Budget!$M$5, MONTH($A321)=Budget!$L$5),Budget!$K$5,0)</f>
        <v>0</v>
      </c>
      <c r="T321" s="17">
        <f>N("Amazon Prime")-IF(DAY(A321)=Budget!$Q$3,Budget!$P$3,0)</f>
        <v>0</v>
      </c>
      <c r="U321" s="17">
        <f>N("Audible")-IF(DAY(A321)=Budget!$Q$12,Budget!$P$12,0)</f>
        <v>0</v>
      </c>
      <c r="V321" s="17">
        <f>N("Crunchyroll")-IF(DAY(A321)=Budget!$Q$5,Budget!$P$5,0)</f>
        <v>0</v>
      </c>
      <c r="W321" s="17">
        <f>N("HBO Max")-IF(DAY(A321)=Budget!$Q$6,Budget!$P$6,0)</f>
        <v>0</v>
      </c>
      <c r="X321" s="17">
        <f>N("Netflix")-IF(DAY(A321)=Budget!$Q$7,Budget!$P$7,0)</f>
        <v>0</v>
      </c>
      <c r="Y321" s="17">
        <f>N("Spotify")-IF(DAY(A321)=Budget!$Q$8,Budget!$P$8,0)</f>
        <v>0</v>
      </c>
      <c r="Z321" s="17">
        <f>N("Truebill")-IF(DAY(A321)=Budget!$Q$9,Budget!$P$9,0)</f>
        <v>0</v>
      </c>
      <c r="AA321" s="6">
        <f t="shared" si="36"/>
        <v>0</v>
      </c>
    </row>
    <row r="322" spans="1:27" x14ac:dyDescent="0.3">
      <c r="A322" s="4">
        <f t="shared" si="38"/>
        <v>45942</v>
      </c>
      <c r="B322" s="2">
        <f t="shared" si="37"/>
        <v>6133.04</v>
      </c>
      <c r="C322" s="7">
        <f t="shared" si="39"/>
        <v>0</v>
      </c>
      <c r="D322" s="1">
        <v>0</v>
      </c>
      <c r="E322" s="17">
        <f>N("PAY-LM")+IF(WEEKDAY(A322)=Budget!$C$3,Budget!$B$3,0)</f>
        <v>0</v>
      </c>
      <c r="F322" s="17">
        <f>N("Rent")-IF(DAY(A322)=Budget!$G$3,Budget!$F$3,0)</f>
        <v>0</v>
      </c>
      <c r="G322" s="17">
        <f>N("Car")-IF(DAY(A322)=Budget!$G$4,Budget!$F$4+Budget!$H$4,0)</f>
        <v>0</v>
      </c>
      <c r="H322" s="17">
        <f>N("Mom Rent")-IF(DAY(A322)=Budget!$G$5,Budget!$F$5,0)</f>
        <v>0</v>
      </c>
      <c r="I322" s="17">
        <f>N("AT&amp;T")-IF(DAY(A322)=Budget!$G$8,Budget!$F$8,0)</f>
        <v>0</v>
      </c>
      <c r="J322" s="17">
        <f>N("GA Power")-IF(DAY(A322)=Budget!$G$9,Budget!$F$9,0)</f>
        <v>0</v>
      </c>
      <c r="K322" s="17">
        <f>N("Haircut")-IF(DAY(A322)=Budget!$G$10,Budget!$F$10,0)</f>
        <v>0</v>
      </c>
      <c r="L322" s="17">
        <f>N("Groceries")-IF(DAY(A322)=Budget!$G$6,Budget!$F$6,0)</f>
        <v>0</v>
      </c>
      <c r="M322" s="17">
        <f>N("Savings")-IF(DAY(A322)=Budget!$G$7,Budget!$F$7,0)</f>
        <v>0</v>
      </c>
      <c r="N322" s="17">
        <f>N("Car Insurance")-COUNTIF(Budget!$G$14, A322)*Budget!$F$14</f>
        <v>0</v>
      </c>
      <c r="O322" s="17">
        <f>N("Phone Bill")-COUNTIF(Budget!$G$15, A322)*Budget!$F$15</f>
        <v>0</v>
      </c>
      <c r="Q322" s="17">
        <f>N("Spotify")-IF(AND(DAY($A322)=Budget!$M$3, MONTH($A322)=Budget!$L$3),Budget!$K$3,0)</f>
        <v>0</v>
      </c>
      <c r="R322" s="17">
        <f>N("Spotify")-IF(AND(DAY($A322)=Budget!$M$4, MONTH($A322)=Budget!$L$4),Budget!$K$4,0)</f>
        <v>0</v>
      </c>
      <c r="S322" s="17">
        <f>N("Spotify")-IF(AND(DAY($A322)=Budget!$M$5, MONTH($A322)=Budget!$L$5),Budget!$K$5,0)</f>
        <v>0</v>
      </c>
      <c r="T322" s="17">
        <f>N("Amazon Prime")-IF(DAY(A322)=Budget!$Q$3,Budget!$P$3,0)</f>
        <v>0</v>
      </c>
      <c r="U322" s="17">
        <f>N("Audible")-IF(DAY(A322)=Budget!$Q$12,Budget!$P$12,0)</f>
        <v>0</v>
      </c>
      <c r="V322" s="17">
        <f>N("Crunchyroll")-IF(DAY(A322)=Budget!$Q$5,Budget!$P$5,0)</f>
        <v>0</v>
      </c>
      <c r="W322" s="17">
        <f>N("HBO Max")-IF(DAY(A322)=Budget!$Q$6,Budget!$P$6,0)</f>
        <v>0</v>
      </c>
      <c r="X322" s="17">
        <f>N("Netflix")-IF(DAY(A322)=Budget!$Q$7,Budget!$P$7,0)</f>
        <v>-6</v>
      </c>
      <c r="Y322" s="17">
        <f>N("Spotify")-IF(DAY(A322)=Budget!$Q$8,Budget!$P$8,0)</f>
        <v>0</v>
      </c>
      <c r="Z322" s="17">
        <f>N("Truebill")-IF(DAY(A322)=Budget!$Q$9,Budget!$P$9,0)</f>
        <v>0</v>
      </c>
      <c r="AA322" s="6">
        <f t="shared" si="36"/>
        <v>-6</v>
      </c>
    </row>
    <row r="323" spans="1:27" x14ac:dyDescent="0.3">
      <c r="A323" s="4">
        <f t="shared" si="38"/>
        <v>45943</v>
      </c>
      <c r="B323" s="2">
        <f t="shared" si="37"/>
        <v>6133.04</v>
      </c>
      <c r="C323" s="7">
        <f t="shared" si="39"/>
        <v>1</v>
      </c>
      <c r="D323" s="1">
        <v>0</v>
      </c>
      <c r="E323" s="17">
        <f>N("PAY-LM")+IF(WEEKDAY(A323)=Budget!$C$3,Budget!$B$3,0)</f>
        <v>0</v>
      </c>
      <c r="F323" s="17">
        <f>N("Rent")-IF(DAY(A323)=Budget!$G$3,Budget!$F$3,0)</f>
        <v>0</v>
      </c>
      <c r="G323" s="17">
        <f>N("Car")-IF(DAY(A323)=Budget!$G$4,Budget!$F$4+Budget!$H$4,0)</f>
        <v>0</v>
      </c>
      <c r="H323" s="17">
        <f>N("Mom Rent")-IF(DAY(A323)=Budget!$G$5,Budget!$F$5,0)</f>
        <v>0</v>
      </c>
      <c r="I323" s="17">
        <f>N("AT&amp;T")-IF(DAY(A323)=Budget!$G$8,Budget!$F$8,0)</f>
        <v>0</v>
      </c>
      <c r="J323" s="17">
        <f>N("GA Power")-IF(DAY(A323)=Budget!$G$9,Budget!$F$9,0)</f>
        <v>0</v>
      </c>
      <c r="K323" s="17">
        <f>N("Haircut")-IF(DAY(A323)=Budget!$G$10,Budget!$F$10,0)</f>
        <v>0</v>
      </c>
      <c r="L323" s="17">
        <f>N("Groceries")-IF(DAY(A323)=Budget!$G$6,Budget!$F$6,0)</f>
        <v>0</v>
      </c>
      <c r="M323" s="17">
        <f>N("Savings")-IF(DAY(A323)=Budget!$G$7,Budget!$F$7,0)</f>
        <v>0</v>
      </c>
      <c r="N323" s="17">
        <f>N("Car Insurance")-COUNTIF(Budget!$G$14, A323)*Budget!$F$14</f>
        <v>0</v>
      </c>
      <c r="O323" s="17">
        <f>N("Phone Bill")-COUNTIF(Budget!$G$15, A323)*Budget!$F$15</f>
        <v>0</v>
      </c>
      <c r="Q323" s="17">
        <f>N("Spotify")-IF(AND(DAY($A323)=Budget!$M$3, MONTH($A323)=Budget!$L$3),Budget!$K$3,0)</f>
        <v>0</v>
      </c>
      <c r="R323" s="17">
        <f>N("Spotify")-IF(AND(DAY($A323)=Budget!$M$4, MONTH($A323)=Budget!$L$4),Budget!$K$4,0)</f>
        <v>0</v>
      </c>
      <c r="S323" s="17">
        <f>N("Spotify")-IF(AND(DAY($A323)=Budget!$M$5, MONTH($A323)=Budget!$L$5),Budget!$K$5,0)</f>
        <v>0</v>
      </c>
      <c r="T323" s="17">
        <f>N("Amazon Prime")-IF(DAY(A323)=Budget!$Q$3,Budget!$P$3,0)</f>
        <v>0</v>
      </c>
      <c r="U323" s="17">
        <f>N("Audible")-IF(DAY(A323)=Budget!$Q$12,Budget!$P$12,0)</f>
        <v>0</v>
      </c>
      <c r="V323" s="17">
        <f>N("Crunchyroll")-IF(DAY(A323)=Budget!$Q$5,Budget!$P$5,0)</f>
        <v>0</v>
      </c>
      <c r="W323" s="17">
        <f>N("HBO Max")-IF(DAY(A323)=Budget!$Q$6,Budget!$P$6,0)</f>
        <v>0</v>
      </c>
      <c r="X323" s="17">
        <f>N("Netflix")-IF(DAY(A323)=Budget!$Q$7,Budget!$P$7,0)</f>
        <v>0</v>
      </c>
      <c r="Y323" s="17">
        <f>N("Spotify")-IF(DAY(A323)=Budget!$Q$8,Budget!$P$8,0)</f>
        <v>0</v>
      </c>
      <c r="Z323" s="17">
        <f>N("Truebill")-IF(DAY(A323)=Budget!$Q$9,Budget!$P$9,0)</f>
        <v>0</v>
      </c>
      <c r="AA323" s="6">
        <f t="shared" si="36"/>
        <v>0</v>
      </c>
    </row>
    <row r="324" spans="1:27" x14ac:dyDescent="0.3">
      <c r="A324" s="4">
        <f t="shared" si="38"/>
        <v>45944</v>
      </c>
      <c r="B324" s="2">
        <f t="shared" si="37"/>
        <v>6133.04</v>
      </c>
      <c r="C324" s="7">
        <f t="shared" si="39"/>
        <v>1</v>
      </c>
      <c r="D324" s="1">
        <v>0</v>
      </c>
      <c r="E324" s="17">
        <f>N("PAY-LM")+IF(WEEKDAY(A324)=Budget!$C$3,Budget!$B$3,0)</f>
        <v>0</v>
      </c>
      <c r="F324" s="17">
        <f>N("Rent")-IF(DAY(A324)=Budget!$G$3,Budget!$F$3,0)</f>
        <v>0</v>
      </c>
      <c r="G324" s="17">
        <f>N("Car")-IF(DAY(A324)=Budget!$G$4,Budget!$F$4+Budget!$H$4,0)</f>
        <v>0</v>
      </c>
      <c r="H324" s="17">
        <f>N("Mom Rent")-IF(DAY(A324)=Budget!$G$5,Budget!$F$5,0)</f>
        <v>0</v>
      </c>
      <c r="I324" s="17">
        <f>N("AT&amp;T")-IF(DAY(A324)=Budget!$G$8,Budget!$F$8,0)</f>
        <v>0</v>
      </c>
      <c r="J324" s="17">
        <f>N("GA Power")-IF(DAY(A324)=Budget!$G$9,Budget!$F$9,0)</f>
        <v>0</v>
      </c>
      <c r="K324" s="17">
        <f>N("Haircut")-IF(DAY(A324)=Budget!$G$10,Budget!$F$10,0)</f>
        <v>0</v>
      </c>
      <c r="L324" s="17">
        <f>N("Groceries")-IF(DAY(A324)=Budget!$G$6,Budget!$F$6,0)</f>
        <v>0</v>
      </c>
      <c r="M324" s="17">
        <f>N("Savings")-IF(DAY(A324)=Budget!$G$7,Budget!$F$7,0)</f>
        <v>0</v>
      </c>
      <c r="N324" s="17">
        <f>N("Car Insurance")-COUNTIF(Budget!$G$14, A324)*Budget!$F$14</f>
        <v>0</v>
      </c>
      <c r="O324" s="17">
        <f>N("Phone Bill")-COUNTIF(Budget!$G$15, A324)*Budget!$F$15</f>
        <v>0</v>
      </c>
      <c r="Q324" s="17">
        <f>N("Spotify")-IF(AND(DAY($A324)=Budget!$M$3, MONTH($A324)=Budget!$L$3),Budget!$K$3,0)</f>
        <v>0</v>
      </c>
      <c r="R324" s="17">
        <f>N("Spotify")-IF(AND(DAY($A324)=Budget!$M$4, MONTH($A324)=Budget!$L$4),Budget!$K$4,0)</f>
        <v>0</v>
      </c>
      <c r="S324" s="17">
        <f>N("Spotify")-IF(AND(DAY($A324)=Budget!$M$5, MONTH($A324)=Budget!$L$5),Budget!$K$5,0)</f>
        <v>0</v>
      </c>
      <c r="T324" s="17">
        <f>N("Amazon Prime")-IF(DAY(A324)=Budget!$Q$3,Budget!$P$3,0)</f>
        <v>0</v>
      </c>
      <c r="U324" s="17">
        <f>N("Audible")-IF(DAY(A324)=Budget!$Q$12,Budget!$P$12,0)</f>
        <v>0</v>
      </c>
      <c r="V324" s="17">
        <f>N("Crunchyroll")-IF(DAY(A324)=Budget!$Q$5,Budget!$P$5,0)</f>
        <v>0</v>
      </c>
      <c r="W324" s="17">
        <f>N("HBO Max")-IF(DAY(A324)=Budget!$Q$6,Budget!$P$6,0)</f>
        <v>0</v>
      </c>
      <c r="X324" s="17">
        <f>N("Netflix")-IF(DAY(A324)=Budget!$Q$7,Budget!$P$7,0)</f>
        <v>0</v>
      </c>
      <c r="Y324" s="17">
        <f>N("Spotify")-IF(DAY(A324)=Budget!$Q$8,Budget!$P$8,0)</f>
        <v>0</v>
      </c>
      <c r="Z324" s="17">
        <f>N("Truebill")-IF(DAY(A324)=Budget!$Q$9,Budget!$P$9,0)</f>
        <v>0</v>
      </c>
      <c r="AA324" s="6">
        <f t="shared" si="36"/>
        <v>0</v>
      </c>
    </row>
    <row r="325" spans="1:27" x14ac:dyDescent="0.3">
      <c r="A325" s="4">
        <f t="shared" si="38"/>
        <v>45945</v>
      </c>
      <c r="B325" s="2">
        <f t="shared" si="37"/>
        <v>6133.04</v>
      </c>
      <c r="C325" s="7">
        <f t="shared" si="39"/>
        <v>1</v>
      </c>
      <c r="D325" s="1">
        <v>0</v>
      </c>
      <c r="E325" s="17">
        <f>N("PAY-LM")+IF(WEEKDAY(A325)=Budget!$C$3,Budget!$B$3,0)</f>
        <v>0</v>
      </c>
      <c r="F325" s="17">
        <f>N("Rent")-IF(DAY(A325)=Budget!$G$3,Budget!$F$3,0)</f>
        <v>0</v>
      </c>
      <c r="G325" s="17">
        <f>N("Car")-IF(DAY(A325)=Budget!$G$4,Budget!$F$4+Budget!$H$4,0)</f>
        <v>0</v>
      </c>
      <c r="H325" s="17">
        <f>N("Mom Rent")-IF(DAY(A325)=Budget!$G$5,Budget!$F$5,0)</f>
        <v>0</v>
      </c>
      <c r="I325" s="17">
        <f>N("AT&amp;T")-IF(DAY(A325)=Budget!$G$8,Budget!$F$8,0)</f>
        <v>0</v>
      </c>
      <c r="J325" s="17">
        <f>N("GA Power")-IF(DAY(A325)=Budget!$G$9,Budget!$F$9,0)</f>
        <v>0</v>
      </c>
      <c r="K325" s="17">
        <f>N("Haircut")-IF(DAY(A325)=Budget!$G$10,Budget!$F$10,0)</f>
        <v>0</v>
      </c>
      <c r="L325" s="17">
        <f>N("Groceries")-IF(DAY(A325)=Budget!$G$6,Budget!$F$6,0)</f>
        <v>0</v>
      </c>
      <c r="M325" s="17">
        <f>N("Savings")-IF(DAY(A325)=Budget!$G$7,Budget!$F$7,0)</f>
        <v>0</v>
      </c>
      <c r="N325" s="17">
        <f>N("Car Insurance")-COUNTIF(Budget!$G$14, A325)*Budget!$F$14</f>
        <v>0</v>
      </c>
      <c r="O325" s="17">
        <f>N("Phone Bill")-COUNTIF(Budget!$G$15, A325)*Budget!$F$15</f>
        <v>0</v>
      </c>
      <c r="Q325" s="17">
        <f>N("Spotify")-IF(AND(DAY($A325)=Budget!$M$3, MONTH($A325)=Budget!$L$3),Budget!$K$3,0)</f>
        <v>0</v>
      </c>
      <c r="R325" s="17">
        <f>N("Spotify")-IF(AND(DAY($A325)=Budget!$M$4, MONTH($A325)=Budget!$L$4),Budget!$K$4,0)</f>
        <v>0</v>
      </c>
      <c r="S325" s="17">
        <f>N("Spotify")-IF(AND(DAY($A325)=Budget!$M$5, MONTH($A325)=Budget!$L$5),Budget!$K$5,0)</f>
        <v>0</v>
      </c>
      <c r="T325" s="17">
        <f>N("Amazon Prime")-IF(DAY(A325)=Budget!$Q$3,Budget!$P$3,0)</f>
        <v>0</v>
      </c>
      <c r="U325" s="17">
        <f>N("Audible")-IF(DAY(A325)=Budget!$Q$12,Budget!$P$12,0)</f>
        <v>0</v>
      </c>
      <c r="V325" s="17">
        <f>N("Crunchyroll")-IF(DAY(A325)=Budget!$Q$5,Budget!$P$5,0)</f>
        <v>0</v>
      </c>
      <c r="W325" s="17">
        <f>N("HBO Max")-IF(DAY(A325)=Budget!$Q$6,Budget!$P$6,0)</f>
        <v>0</v>
      </c>
      <c r="X325" s="17">
        <f>N("Netflix")-IF(DAY(A325)=Budget!$Q$7,Budget!$P$7,0)</f>
        <v>0</v>
      </c>
      <c r="Y325" s="17">
        <f>N("Spotify")-IF(DAY(A325)=Budget!$Q$8,Budget!$P$8,0)</f>
        <v>0</v>
      </c>
      <c r="Z325" s="17">
        <f>N("Truebill")-IF(DAY(A325)=Budget!$Q$9,Budget!$P$9,0)</f>
        <v>0</v>
      </c>
      <c r="AA325" s="6">
        <f t="shared" si="36"/>
        <v>0</v>
      </c>
    </row>
    <row r="326" spans="1:27" x14ac:dyDescent="0.3">
      <c r="A326" s="4">
        <f t="shared" si="38"/>
        <v>45946</v>
      </c>
      <c r="B326" s="2">
        <f t="shared" si="37"/>
        <v>6133.04</v>
      </c>
      <c r="C326" s="7">
        <f t="shared" si="39"/>
        <v>1</v>
      </c>
      <c r="D326" s="1">
        <v>0</v>
      </c>
      <c r="E326" s="17">
        <f>N("PAY-LM")+IF(WEEKDAY(A326)=Budget!$C$3,Budget!$B$3,0)</f>
        <v>0</v>
      </c>
      <c r="F326" s="17">
        <f>N("Rent")-IF(DAY(A326)=Budget!$G$3,Budget!$F$3,0)</f>
        <v>0</v>
      </c>
      <c r="G326" s="17">
        <f>N("Car")-IF(DAY(A326)=Budget!$G$4,Budget!$F$4+Budget!$H$4,0)</f>
        <v>0</v>
      </c>
      <c r="H326" s="17">
        <f>N("Mom Rent")-IF(DAY(A326)=Budget!$G$5,Budget!$F$5,0)</f>
        <v>0</v>
      </c>
      <c r="I326" s="17">
        <f>N("AT&amp;T")-IF(DAY(A326)=Budget!$G$8,Budget!$F$8,0)</f>
        <v>0</v>
      </c>
      <c r="J326" s="17">
        <f>N("GA Power")-IF(DAY(A326)=Budget!$G$9,Budget!$F$9,0)</f>
        <v>0</v>
      </c>
      <c r="K326" s="17">
        <f>N("Haircut")-IF(DAY(A326)=Budget!$G$10,Budget!$F$10,0)</f>
        <v>0</v>
      </c>
      <c r="L326" s="17">
        <f>N("Groceries")-IF(DAY(A326)=Budget!$G$6,Budget!$F$6,0)</f>
        <v>0</v>
      </c>
      <c r="M326" s="17">
        <f>N("Savings")-IF(DAY(A326)=Budget!$G$7,Budget!$F$7,0)</f>
        <v>0</v>
      </c>
      <c r="N326" s="17">
        <f>N("Car Insurance")-COUNTIF(Budget!$G$14, A326)*Budget!$F$14</f>
        <v>0</v>
      </c>
      <c r="O326" s="17">
        <f>N("Phone Bill")-COUNTIF(Budget!$G$15, A326)*Budget!$F$15</f>
        <v>0</v>
      </c>
      <c r="Q326" s="17">
        <f>N("Spotify")-IF(AND(DAY($A326)=Budget!$M$3, MONTH($A326)=Budget!$L$3),Budget!$K$3,0)</f>
        <v>0</v>
      </c>
      <c r="R326" s="17">
        <f>N("Spotify")-IF(AND(DAY($A326)=Budget!$M$4, MONTH($A326)=Budget!$L$4),Budget!$K$4,0)</f>
        <v>0</v>
      </c>
      <c r="S326" s="17">
        <f>N("Spotify")-IF(AND(DAY($A326)=Budget!$M$5, MONTH($A326)=Budget!$L$5),Budget!$K$5,0)</f>
        <v>0</v>
      </c>
      <c r="T326" s="17">
        <f>N("Amazon Prime")-IF(DAY(A326)=Budget!$Q$3,Budget!$P$3,0)</f>
        <v>0</v>
      </c>
      <c r="U326" s="17">
        <f>N("Audible")-IF(DAY(A326)=Budget!$Q$12,Budget!$P$12,0)</f>
        <v>0</v>
      </c>
      <c r="V326" s="17">
        <f>N("Crunchyroll")-IF(DAY(A326)=Budget!$Q$5,Budget!$P$5,0)</f>
        <v>0</v>
      </c>
      <c r="W326" s="17">
        <f>N("HBO Max")-IF(DAY(A326)=Budget!$Q$6,Budget!$P$6,0)</f>
        <v>0</v>
      </c>
      <c r="X326" s="17">
        <f>N("Netflix")-IF(DAY(A326)=Budget!$Q$7,Budget!$P$7,0)</f>
        <v>0</v>
      </c>
      <c r="Y326" s="17">
        <f>N("Spotify")-IF(DAY(A326)=Budget!$Q$8,Budget!$P$8,0)</f>
        <v>0</v>
      </c>
      <c r="Z326" s="17">
        <f>N("Truebill")-IF(DAY(A326)=Budget!$Q$9,Budget!$P$9,0)</f>
        <v>0</v>
      </c>
      <c r="AA326" s="6">
        <f t="shared" si="36"/>
        <v>0</v>
      </c>
    </row>
    <row r="327" spans="1:27" x14ac:dyDescent="0.3">
      <c r="A327" s="4">
        <f t="shared" si="38"/>
        <v>45947</v>
      </c>
      <c r="B327" s="2">
        <f t="shared" si="37"/>
        <v>7586.04</v>
      </c>
      <c r="C327" s="7">
        <f t="shared" si="39"/>
        <v>2</v>
      </c>
      <c r="D327" s="1">
        <v>0</v>
      </c>
      <c r="E327" s="17">
        <f>N("PAY-LM")+IF(WEEKDAY(A327)=Budget!$C$3,Budget!$B$3,0)</f>
        <v>1453</v>
      </c>
      <c r="F327" s="17">
        <f>N("Rent")-IF(DAY(A327)=Budget!$G$3,Budget!$F$3,0)</f>
        <v>0</v>
      </c>
      <c r="G327" s="17">
        <f>N("Car")-IF(DAY(A327)=Budget!$G$4,Budget!$F$4+Budget!$H$4,0)</f>
        <v>0</v>
      </c>
      <c r="H327" s="17">
        <f>N("Mom Rent")-IF(DAY(A327)=Budget!$G$5,Budget!$F$5,0)</f>
        <v>0</v>
      </c>
      <c r="I327" s="17">
        <f>N("AT&amp;T")-IF(DAY(A327)=Budget!$G$8,Budget!$F$8,0)</f>
        <v>0</v>
      </c>
      <c r="J327" s="17">
        <f>N("GA Power")-IF(DAY(A327)=Budget!$G$9,Budget!$F$9,0)</f>
        <v>0</v>
      </c>
      <c r="K327" s="17">
        <f>N("Haircut")-IF(DAY(A327)=Budget!$G$10,Budget!$F$10,0)</f>
        <v>0</v>
      </c>
      <c r="L327" s="17">
        <f>N("Groceries")-IF(DAY(A327)=Budget!$G$6,Budget!$F$6,0)</f>
        <v>0</v>
      </c>
      <c r="M327" s="17">
        <f>N("Savings")-IF(DAY(A327)=Budget!$G$7,Budget!$F$7,0)</f>
        <v>0</v>
      </c>
      <c r="N327" s="17">
        <f>N("Car Insurance")-COUNTIF(Budget!$G$14, A327)*Budget!$F$14</f>
        <v>0</v>
      </c>
      <c r="O327" s="17">
        <f>N("Phone Bill")-COUNTIF(Budget!$G$15, A327)*Budget!$F$15</f>
        <v>0</v>
      </c>
      <c r="Q327" s="17">
        <f>N("Spotify")-IF(AND(DAY($A327)=Budget!$M$3, MONTH($A327)=Budget!$L$3),Budget!$K$3,0)</f>
        <v>0</v>
      </c>
      <c r="R327" s="17">
        <f>N("Spotify")-IF(AND(DAY($A327)=Budget!$M$4, MONTH($A327)=Budget!$L$4),Budget!$K$4,0)</f>
        <v>0</v>
      </c>
      <c r="S327" s="17">
        <f>N("Spotify")-IF(AND(DAY($A327)=Budget!$M$5, MONTH($A327)=Budget!$L$5),Budget!$K$5,0)</f>
        <v>0</v>
      </c>
      <c r="T327" s="17">
        <f>N("Amazon Prime")-IF(DAY(A327)=Budget!$Q$3,Budget!$P$3,0)</f>
        <v>0</v>
      </c>
      <c r="U327" s="17">
        <f>N("Audible")-IF(DAY(A327)=Budget!$Q$12,Budget!$P$12,0)</f>
        <v>0</v>
      </c>
      <c r="V327" s="17">
        <f>N("Crunchyroll")-IF(DAY(A327)=Budget!$Q$5,Budget!$P$5,0)</f>
        <v>0</v>
      </c>
      <c r="W327" s="17">
        <f>N("HBO Max")-IF(DAY(A327)=Budget!$Q$6,Budget!$P$6,0)</f>
        <v>0</v>
      </c>
      <c r="X327" s="17">
        <f>N("Netflix")-IF(DAY(A327)=Budget!$Q$7,Budget!$P$7,0)</f>
        <v>0</v>
      </c>
      <c r="Y327" s="17">
        <f>N("Spotify")-IF(DAY(A327)=Budget!$Q$8,Budget!$P$8,0)</f>
        <v>0</v>
      </c>
      <c r="Z327" s="17">
        <f>N("Truebill")-IF(DAY(A327)=Budget!$Q$9,Budget!$P$9,0)</f>
        <v>0</v>
      </c>
      <c r="AA327" s="6">
        <f t="shared" si="36"/>
        <v>1453</v>
      </c>
    </row>
    <row r="328" spans="1:27" x14ac:dyDescent="0.3">
      <c r="A328" s="4">
        <f t="shared" si="38"/>
        <v>45948</v>
      </c>
      <c r="B328" s="2">
        <f>4632.92</f>
        <v>4632.92</v>
      </c>
      <c r="C328" s="7">
        <f t="shared" si="39"/>
        <v>0</v>
      </c>
      <c r="D328" s="1">
        <v>0</v>
      </c>
      <c r="E328" s="17">
        <f>N("PAY-LM")+IF(WEEKDAY(A328)=Budget!$C$3,Budget!$B$3,0)</f>
        <v>0</v>
      </c>
      <c r="F328" s="17">
        <f>N("Rent")-IF(DAY(A328)=Budget!$G$3,Budget!$F$3,0)</f>
        <v>0</v>
      </c>
      <c r="G328" s="17">
        <f>N("Car")-IF(DAY(A328)=Budget!$G$4,Budget!$F$4+Budget!$H$4,0)</f>
        <v>0</v>
      </c>
      <c r="H328" s="17">
        <f>N("Mom Rent")-IF(DAY(A328)=Budget!$G$5,Budget!$F$5,0)</f>
        <v>0</v>
      </c>
      <c r="I328" s="17">
        <f>N("AT&amp;T")-IF(DAY(A328)=Budget!$G$8,Budget!$F$8,0)</f>
        <v>-65</v>
      </c>
      <c r="J328" s="17">
        <f>N("GA Power")-IF(DAY(A328)=Budget!$G$9,Budget!$F$9,0)</f>
        <v>0</v>
      </c>
      <c r="K328" s="17">
        <f>N("Haircut")-IF(DAY(A328)=Budget!$G$10,Budget!$F$10,0)</f>
        <v>0</v>
      </c>
      <c r="L328" s="17">
        <f>N("Groceries")-IF(DAY(A328)=Budget!$G$6,Budget!$F$6,0)</f>
        <v>0</v>
      </c>
      <c r="M328" s="17">
        <f>N("Savings")-IF(DAY(A328)=Budget!$G$7,Budget!$F$7,0)</f>
        <v>0</v>
      </c>
      <c r="N328" s="17">
        <f>N("Car Insurance")-COUNTIF(Budget!$G$14, A328)*Budget!$F$14</f>
        <v>0</v>
      </c>
      <c r="O328" s="17">
        <f>N("Phone Bill")-COUNTIF(Budget!$G$15, A328)*Budget!$F$15</f>
        <v>0</v>
      </c>
      <c r="Q328" s="17">
        <f>N("Spotify")-IF(AND(DAY($A328)=Budget!$M$3, MONTH($A328)=Budget!$L$3),Budget!$K$3,0)</f>
        <v>0</v>
      </c>
      <c r="R328" s="17">
        <f>N("Spotify")-IF(AND(DAY($A328)=Budget!$M$4, MONTH($A328)=Budget!$L$4),Budget!$K$4,0)</f>
        <v>0</v>
      </c>
      <c r="S328" s="17">
        <f>N("Spotify")-IF(AND(DAY($A328)=Budget!$M$5, MONTH($A328)=Budget!$L$5),Budget!$K$5,0)</f>
        <v>0</v>
      </c>
      <c r="T328" s="17">
        <f>N("Amazon Prime")-IF(DAY(A328)=Budget!$Q$3,Budget!$P$3,0)</f>
        <v>0</v>
      </c>
      <c r="U328" s="17">
        <f>N("Audible")-IF(DAY(A328)=Budget!$Q$12,Budget!$P$12,0)</f>
        <v>0</v>
      </c>
      <c r="V328" s="17">
        <f>N("Crunchyroll")-IF(DAY(A328)=Budget!$Q$5,Budget!$P$5,0)</f>
        <v>0</v>
      </c>
      <c r="W328" s="17">
        <f>N("HBO Max")-IF(DAY(A328)=Budget!$Q$6,Budget!$P$6,0)</f>
        <v>0</v>
      </c>
      <c r="X328" s="17">
        <f>N("Netflix")-IF(DAY(A328)=Budget!$Q$7,Budget!$P$7,0)</f>
        <v>0</v>
      </c>
      <c r="Y328" s="17">
        <f>N("Spotify")-IF(DAY(A328)=Budget!$Q$8,Budget!$P$8,0)</f>
        <v>0</v>
      </c>
      <c r="Z328" s="17">
        <f>N("Truebill")-IF(DAY(A328)=Budget!$Q$9,Budget!$P$9,0)</f>
        <v>0</v>
      </c>
      <c r="AA328" s="6">
        <f t="shared" si="36"/>
        <v>-65</v>
      </c>
    </row>
    <row r="329" spans="1:27" x14ac:dyDescent="0.3">
      <c r="A329" s="4">
        <f t="shared" si="38"/>
        <v>45949</v>
      </c>
      <c r="B329" s="2">
        <f t="shared" si="37"/>
        <v>4632.92</v>
      </c>
      <c r="C329" s="7">
        <f t="shared" si="39"/>
        <v>1</v>
      </c>
      <c r="D329" s="1">
        <v>0</v>
      </c>
      <c r="E329" s="17">
        <f>N("PAY-LM")+IF(WEEKDAY(A329)=Budget!$C$3,Budget!$B$3,0)</f>
        <v>0</v>
      </c>
      <c r="F329" s="17">
        <f>N("Rent")-IF(DAY(A329)=Budget!$G$3,Budget!$F$3,0)</f>
        <v>0</v>
      </c>
      <c r="G329" s="17">
        <f>N("Car")-IF(DAY(A329)=Budget!$G$4,Budget!$F$4+Budget!$H$4,0)</f>
        <v>0</v>
      </c>
      <c r="H329" s="17">
        <f>N("Mom Rent")-IF(DAY(A329)=Budget!$G$5,Budget!$F$5,0)</f>
        <v>0</v>
      </c>
      <c r="I329" s="17">
        <f>N("AT&amp;T")-IF(DAY(A329)=Budget!$G$8,Budget!$F$8,0)</f>
        <v>0</v>
      </c>
      <c r="J329" s="17">
        <f>N("GA Power")-IF(DAY(A329)=Budget!$G$9,Budget!$F$9,0)</f>
        <v>0</v>
      </c>
      <c r="K329" s="17">
        <f>N("Haircut")-IF(DAY(A329)=Budget!$G$10,Budget!$F$10,0)</f>
        <v>0</v>
      </c>
      <c r="L329" s="17">
        <f>N("Groceries")-IF(DAY(A329)=Budget!$G$6,Budget!$F$6,0)</f>
        <v>0</v>
      </c>
      <c r="M329" s="17">
        <f>N("Savings")-IF(DAY(A329)=Budget!$G$7,Budget!$F$7,0)</f>
        <v>0</v>
      </c>
      <c r="N329" s="17">
        <f>N("Car Insurance")-COUNTIF(Budget!$G$14, A329)*Budget!$F$14</f>
        <v>0</v>
      </c>
      <c r="O329" s="17">
        <f>N("Phone Bill")-COUNTIF(Budget!$G$15, A329)*Budget!$F$15</f>
        <v>0</v>
      </c>
      <c r="Q329" s="17">
        <f>N("Spotify")-IF(AND(DAY($A329)=Budget!$M$3, MONTH($A329)=Budget!$L$3),Budget!$K$3,0)</f>
        <v>0</v>
      </c>
      <c r="R329" s="17">
        <f>N("Spotify")-IF(AND(DAY($A329)=Budget!$M$4, MONTH($A329)=Budget!$L$4),Budget!$K$4,0)</f>
        <v>0</v>
      </c>
      <c r="S329" s="17">
        <f>N("Spotify")-IF(AND(DAY($A329)=Budget!$M$5, MONTH($A329)=Budget!$L$5),Budget!$K$5,0)</f>
        <v>0</v>
      </c>
      <c r="T329" s="17">
        <f>N("Amazon Prime")-IF(DAY(A329)=Budget!$Q$3,Budget!$P$3,0)</f>
        <v>0</v>
      </c>
      <c r="U329" s="17">
        <f>N("Audible")-IF(DAY(A329)=Budget!$Q$12,Budget!$P$12,0)</f>
        <v>0</v>
      </c>
      <c r="V329" s="17">
        <f>N("Crunchyroll")-IF(DAY(A329)=Budget!$Q$5,Budget!$P$5,0)</f>
        <v>0</v>
      </c>
      <c r="W329" s="17">
        <f>N("HBO Max")-IF(DAY(A329)=Budget!$Q$6,Budget!$P$6,0)</f>
        <v>0</v>
      </c>
      <c r="X329" s="17">
        <f>N("Netflix")-IF(DAY(A329)=Budget!$Q$7,Budget!$P$7,0)</f>
        <v>0</v>
      </c>
      <c r="Y329" s="17">
        <f>N("Spotify")-IF(DAY(A329)=Budget!$Q$8,Budget!$P$8,0)</f>
        <v>0</v>
      </c>
      <c r="Z329" s="17">
        <f>N("Truebill")-IF(DAY(A329)=Budget!$Q$9,Budget!$P$9,0)</f>
        <v>0</v>
      </c>
      <c r="AA329" s="6">
        <f t="shared" si="36"/>
        <v>0</v>
      </c>
    </row>
    <row r="330" spans="1:27" x14ac:dyDescent="0.3">
      <c r="A330" s="4">
        <f t="shared" si="38"/>
        <v>45950</v>
      </c>
      <c r="B330" s="2">
        <f t="shared" si="37"/>
        <v>3782.92</v>
      </c>
      <c r="C330" s="7">
        <f t="shared" si="39"/>
        <v>0</v>
      </c>
      <c r="D330" s="1">
        <v>0</v>
      </c>
      <c r="E330" s="17">
        <f>N("PAY-LM")+IF(WEEKDAY(A330)=Budget!$C$3,Budget!$B$3,0)</f>
        <v>0</v>
      </c>
      <c r="F330" s="17">
        <f>N("Rent")-IF(DAY(A330)=Budget!$G$3,Budget!$F$3,0)</f>
        <v>0</v>
      </c>
      <c r="G330" s="17">
        <f>N("Car")-IF(DAY(A330)=Budget!$G$4,Budget!$F$4+Budget!$H$4,0)</f>
        <v>0</v>
      </c>
      <c r="H330" s="17">
        <f>N("Mom Rent")-IF(DAY(A330)=Budget!$G$5,Budget!$F$5,0)</f>
        <v>-850</v>
      </c>
      <c r="I330" s="17">
        <f>N("AT&amp;T")-IF(DAY(A330)=Budget!$G$8,Budget!$F$8,0)</f>
        <v>0</v>
      </c>
      <c r="J330" s="17">
        <f>N("GA Power")-IF(DAY(A330)=Budget!$G$9,Budget!$F$9,0)</f>
        <v>0</v>
      </c>
      <c r="K330" s="17">
        <f>N("Haircut")-IF(DAY(A330)=Budget!$G$10,Budget!$F$10,0)</f>
        <v>0</v>
      </c>
      <c r="L330" s="17">
        <f>N("Groceries")-IF(DAY(A330)=Budget!$G$6,Budget!$F$6,0)</f>
        <v>0</v>
      </c>
      <c r="M330" s="17">
        <f>N("Savings")-IF(DAY(A330)=Budget!$G$7,Budget!$F$7,0)</f>
        <v>0</v>
      </c>
      <c r="N330" s="17">
        <f>N("Car Insurance")-COUNTIF(Budget!$G$14, A330)*Budget!$F$14</f>
        <v>0</v>
      </c>
      <c r="O330" s="17">
        <f>N("Phone Bill")-COUNTIF(Budget!$G$15, A330)*Budget!$F$15</f>
        <v>0</v>
      </c>
      <c r="Q330" s="17">
        <f>N("Spotify")-IF(AND(DAY($A330)=Budget!$M$3, MONTH($A330)=Budget!$L$3),Budget!$K$3,0)</f>
        <v>0</v>
      </c>
      <c r="R330" s="17">
        <f>N("Spotify")-IF(AND(DAY($A330)=Budget!$M$4, MONTH($A330)=Budget!$L$4),Budget!$K$4,0)</f>
        <v>0</v>
      </c>
      <c r="S330" s="17">
        <f>N("Spotify")-IF(AND(DAY($A330)=Budget!$M$5, MONTH($A330)=Budget!$L$5),Budget!$K$5,0)</f>
        <v>0</v>
      </c>
      <c r="T330" s="17">
        <f>N("Amazon Prime")-IF(DAY(A330)=Budget!$Q$3,Budget!$P$3,0)</f>
        <v>0</v>
      </c>
      <c r="U330" s="17">
        <f>N("Audible")-IF(DAY(A330)=Budget!$Q$12,Budget!$P$12,0)</f>
        <v>0</v>
      </c>
      <c r="V330" s="17">
        <f>N("Crunchyroll")-IF(DAY(A330)=Budget!$Q$5,Budget!$P$5,0)</f>
        <v>0</v>
      </c>
      <c r="W330" s="17">
        <f>N("HBO Max")-IF(DAY(A330)=Budget!$Q$6,Budget!$P$6,0)</f>
        <v>0</v>
      </c>
      <c r="X330" s="17">
        <f>N("Netflix")-IF(DAY(A330)=Budget!$Q$7,Budget!$P$7,0)</f>
        <v>0</v>
      </c>
      <c r="Y330" s="17">
        <f>N("Spotify")-IF(DAY(A330)=Budget!$Q$8,Budget!$P$8,0)</f>
        <v>0</v>
      </c>
      <c r="Z330" s="17">
        <f>N("Truebill")-IF(DAY(A330)=Budget!$Q$9,Budget!$P$9,0)</f>
        <v>0</v>
      </c>
      <c r="AA330" s="6">
        <f t="shared" si="36"/>
        <v>-850</v>
      </c>
    </row>
    <row r="331" spans="1:27" x14ac:dyDescent="0.3">
      <c r="A331" s="4">
        <f t="shared" si="38"/>
        <v>45951</v>
      </c>
      <c r="B331" s="2">
        <f t="shared" si="37"/>
        <v>3782.92</v>
      </c>
      <c r="C331" s="7">
        <f t="shared" si="39"/>
        <v>1</v>
      </c>
      <c r="D331" s="1">
        <v>0</v>
      </c>
      <c r="E331" s="17">
        <f>N("PAY-LM")+IF(WEEKDAY(A331)=Budget!$C$3,Budget!$B$3,0)</f>
        <v>0</v>
      </c>
      <c r="F331" s="17">
        <f>N("Rent")-IF(DAY(A331)=Budget!$G$3,Budget!$F$3,0)</f>
        <v>0</v>
      </c>
      <c r="G331" s="17">
        <f>N("Car")-IF(DAY(A331)=Budget!$G$4,Budget!$F$4+Budget!$H$4,0)</f>
        <v>0</v>
      </c>
      <c r="H331" s="17">
        <f>N("Mom Rent")-IF(DAY(A331)=Budget!$G$5,Budget!$F$5,0)</f>
        <v>0</v>
      </c>
      <c r="I331" s="17">
        <f>N("AT&amp;T")-IF(DAY(A331)=Budget!$G$8,Budget!$F$8,0)</f>
        <v>0</v>
      </c>
      <c r="J331" s="17">
        <f>N("GA Power")-IF(DAY(A331)=Budget!$G$9,Budget!$F$9,0)</f>
        <v>0</v>
      </c>
      <c r="K331" s="17">
        <f>N("Haircut")-IF(DAY(A331)=Budget!$G$10,Budget!$F$10,0)</f>
        <v>0</v>
      </c>
      <c r="L331" s="17">
        <f>N("Groceries")-IF(DAY(A331)=Budget!$G$6,Budget!$F$6,0)</f>
        <v>0</v>
      </c>
      <c r="M331" s="17">
        <f>N("Savings")-IF(DAY(A331)=Budget!$G$7,Budget!$F$7,0)</f>
        <v>0</v>
      </c>
      <c r="N331" s="17">
        <f>N("Car Insurance")-COUNTIF(Budget!$G$14, A331)*Budget!$F$14</f>
        <v>0</v>
      </c>
      <c r="O331" s="17">
        <f>N("Phone Bill")-COUNTIF(Budget!$G$15, A331)*Budget!$F$15</f>
        <v>0</v>
      </c>
      <c r="Q331" s="17">
        <f>N("Spotify")-IF(AND(DAY($A331)=Budget!$M$3, MONTH($A331)=Budget!$L$3),Budget!$K$3,0)</f>
        <v>0</v>
      </c>
      <c r="R331" s="17">
        <f>N("Spotify")-IF(AND(DAY($A331)=Budget!$M$4, MONTH($A331)=Budget!$L$4),Budget!$K$4,0)</f>
        <v>0</v>
      </c>
      <c r="S331" s="17">
        <f>N("Spotify")-IF(AND(DAY($A331)=Budget!$M$5, MONTH($A331)=Budget!$L$5),Budget!$K$5,0)</f>
        <v>0</v>
      </c>
      <c r="T331" s="17">
        <f>N("Amazon Prime")-IF(DAY(A331)=Budget!$Q$3,Budget!$P$3,0)</f>
        <v>0</v>
      </c>
      <c r="U331" s="17">
        <f>N("Audible")-IF(DAY(A331)=Budget!$Q$12,Budget!$P$12,0)</f>
        <v>0</v>
      </c>
      <c r="V331" s="17">
        <f>N("Crunchyroll")-IF(DAY(A331)=Budget!$Q$5,Budget!$P$5,0)</f>
        <v>0</v>
      </c>
      <c r="W331" s="17">
        <f>N("HBO Max")-IF(DAY(A331)=Budget!$Q$6,Budget!$P$6,0)</f>
        <v>0</v>
      </c>
      <c r="X331" s="17">
        <f>N("Netflix")-IF(DAY(A331)=Budget!$Q$7,Budget!$P$7,0)</f>
        <v>0</v>
      </c>
      <c r="Y331" s="17">
        <f>N("Spotify")-IF(DAY(A331)=Budget!$Q$8,Budget!$P$8,0)</f>
        <v>0</v>
      </c>
      <c r="Z331" s="17">
        <f>N("Truebill")-IF(DAY(A331)=Budget!$Q$9,Budget!$P$9,0)</f>
        <v>0</v>
      </c>
      <c r="AA331" s="6">
        <f t="shared" si="36"/>
        <v>0</v>
      </c>
    </row>
    <row r="332" spans="1:27" x14ac:dyDescent="0.3">
      <c r="A332" s="4">
        <f t="shared" si="38"/>
        <v>45952</v>
      </c>
      <c r="B332" s="2">
        <f>4793.42</f>
        <v>4793.42</v>
      </c>
      <c r="C332" s="7">
        <f t="shared" si="39"/>
        <v>2</v>
      </c>
      <c r="D332" s="1">
        <v>0</v>
      </c>
      <c r="E332" s="17">
        <f>N("PAY-LM")+IF(WEEKDAY(A332)=Budget!$C$3,Budget!$B$3,0)</f>
        <v>0</v>
      </c>
      <c r="F332" s="17">
        <f>N("Rent")-IF(DAY(A332)=Budget!$G$3,Budget!$F$3,0)</f>
        <v>0</v>
      </c>
      <c r="G332" s="17">
        <f>N("Car")-IF(DAY(A332)=Budget!$G$4,Budget!$F$4+Budget!$H$4,0)</f>
        <v>0</v>
      </c>
      <c r="H332" s="17">
        <f>N("Mom Rent")-IF(DAY(A332)=Budget!$G$5,Budget!$F$5,0)</f>
        <v>0</v>
      </c>
      <c r="I332" s="17">
        <f>N("AT&amp;T")-IF(DAY(A332)=Budget!$G$8,Budget!$F$8,0)</f>
        <v>0</v>
      </c>
      <c r="J332" s="17">
        <f>N("GA Power")-IF(DAY(A332)=Budget!$G$9,Budget!$F$9,0)</f>
        <v>0</v>
      </c>
      <c r="K332" s="17">
        <f>N("Haircut")-IF(DAY(A332)=Budget!$G$10,Budget!$F$10,0)</f>
        <v>0</v>
      </c>
      <c r="L332" s="17">
        <f>N("Groceries")-IF(DAY(A332)=Budget!$G$6,Budget!$F$6,0)</f>
        <v>0</v>
      </c>
      <c r="M332" s="17">
        <f>N("Savings")-IF(DAY(A332)=Budget!$G$7,Budget!$F$7,0)</f>
        <v>0</v>
      </c>
      <c r="N332" s="17">
        <f>N("Car Insurance")-COUNTIF(Budget!$G$14, A332)*Budget!$F$14</f>
        <v>0</v>
      </c>
      <c r="O332" s="17">
        <f>N("Phone Bill")-COUNTIF(Budget!$G$15, A332)*Budget!$F$15</f>
        <v>0</v>
      </c>
      <c r="Q332" s="17">
        <f>N("Spotify")-IF(AND(DAY($A332)=Budget!$M$3, MONTH($A332)=Budget!$L$3),Budget!$K$3,0)</f>
        <v>0</v>
      </c>
      <c r="R332" s="17">
        <f>N("Spotify")-IF(AND(DAY($A332)=Budget!$M$4, MONTH($A332)=Budget!$L$4),Budget!$K$4,0)</f>
        <v>0</v>
      </c>
      <c r="S332" s="17">
        <f>N("Spotify")-IF(AND(DAY($A332)=Budget!$M$5, MONTH($A332)=Budget!$L$5),Budget!$K$5,0)</f>
        <v>0</v>
      </c>
      <c r="T332" s="17">
        <f>N("Amazon Prime")-IF(DAY(A332)=Budget!$Q$3,Budget!$P$3,0)</f>
        <v>0</v>
      </c>
      <c r="U332" s="17">
        <f>N("Audible")-IF(DAY(A332)=Budget!$Q$12,Budget!$P$12,0)</f>
        <v>0</v>
      </c>
      <c r="V332" s="17">
        <f>N("Crunchyroll")-IF(DAY(A332)=Budget!$Q$5,Budget!$P$5,0)</f>
        <v>0</v>
      </c>
      <c r="W332" s="17">
        <f>N("HBO Max")-IF(DAY(A332)=Budget!$Q$6,Budget!$P$6,0)</f>
        <v>0</v>
      </c>
      <c r="X332" s="17">
        <f>N("Netflix")-IF(DAY(A332)=Budget!$Q$7,Budget!$P$7,0)</f>
        <v>0</v>
      </c>
      <c r="Y332" s="17">
        <f>N("Spotify")-IF(DAY(A332)=Budget!$Q$8,Budget!$P$8,0)</f>
        <v>0</v>
      </c>
      <c r="Z332" s="17">
        <f>N("Truebill")-IF(DAY(A332)=Budget!$Q$9,Budget!$P$9,0)</f>
        <v>0</v>
      </c>
      <c r="AA332" s="6">
        <f t="shared" si="36"/>
        <v>0</v>
      </c>
    </row>
    <row r="333" spans="1:27" x14ac:dyDescent="0.3">
      <c r="A333" s="4">
        <f t="shared" si="38"/>
        <v>45953</v>
      </c>
      <c r="B333" s="2">
        <f t="shared" si="37"/>
        <v>4793.42</v>
      </c>
      <c r="C333" s="7">
        <f t="shared" si="39"/>
        <v>1</v>
      </c>
      <c r="D333" s="1">
        <v>0</v>
      </c>
      <c r="E333" s="17">
        <f>N("PAY-LM")+IF(WEEKDAY(A333)=Budget!$C$3,Budget!$B$3,0)</f>
        <v>0</v>
      </c>
      <c r="F333" s="17">
        <f>N("Rent")-IF(DAY(A333)=Budget!$G$3,Budget!$F$3,0)</f>
        <v>0</v>
      </c>
      <c r="G333" s="17">
        <f>N("Car")-IF(DAY(A333)=Budget!$G$4,Budget!$F$4+Budget!$H$4,0)</f>
        <v>0</v>
      </c>
      <c r="H333" s="17">
        <f>N("Mom Rent")-IF(DAY(A333)=Budget!$G$5,Budget!$F$5,0)</f>
        <v>0</v>
      </c>
      <c r="I333" s="17">
        <f>N("AT&amp;T")-IF(DAY(A333)=Budget!$G$8,Budget!$F$8,0)</f>
        <v>0</v>
      </c>
      <c r="J333" s="17">
        <f>N("GA Power")-IF(DAY(A333)=Budget!$G$9,Budget!$F$9,0)</f>
        <v>0</v>
      </c>
      <c r="K333" s="17">
        <f>N("Haircut")-IF(DAY(A333)=Budget!$G$10,Budget!$F$10,0)</f>
        <v>0</v>
      </c>
      <c r="L333" s="17">
        <f>N("Groceries")-IF(DAY(A333)=Budget!$G$6,Budget!$F$6,0)</f>
        <v>0</v>
      </c>
      <c r="M333" s="17">
        <f>N("Savings")-IF(DAY(A333)=Budget!$G$7,Budget!$F$7,0)</f>
        <v>0</v>
      </c>
      <c r="N333" s="17">
        <f>N("Car Insurance")-COUNTIF(Budget!$G$14, A333)*Budget!$F$14</f>
        <v>0</v>
      </c>
      <c r="O333" s="17">
        <f>N("Phone Bill")-COUNTIF(Budget!$G$15, A333)*Budget!$F$15</f>
        <v>0</v>
      </c>
      <c r="Q333" s="17">
        <f>N("Spotify")-IF(AND(DAY($A333)=Budget!$M$3, MONTH($A333)=Budget!$L$3),Budget!$K$3,0)</f>
        <v>0</v>
      </c>
      <c r="R333" s="17">
        <f>N("Spotify")-IF(AND(DAY($A333)=Budget!$M$4, MONTH($A333)=Budget!$L$4),Budget!$K$4,0)</f>
        <v>0</v>
      </c>
      <c r="S333" s="17">
        <f>N("Spotify")-IF(AND(DAY($A333)=Budget!$M$5, MONTH($A333)=Budget!$L$5),Budget!$K$5,0)</f>
        <v>0</v>
      </c>
      <c r="T333" s="17">
        <f>N("Amazon Prime")-IF(DAY(A333)=Budget!$Q$3,Budget!$P$3,0)</f>
        <v>0</v>
      </c>
      <c r="U333" s="17">
        <f>N("Audible")-IF(DAY(A333)=Budget!$Q$12,Budget!$P$12,0)</f>
        <v>0</v>
      </c>
      <c r="V333" s="17">
        <f>N("Crunchyroll")-IF(DAY(A333)=Budget!$Q$5,Budget!$P$5,0)</f>
        <v>0</v>
      </c>
      <c r="W333" s="17">
        <f>N("HBO Max")-IF(DAY(A333)=Budget!$Q$6,Budget!$P$6,0)</f>
        <v>0</v>
      </c>
      <c r="X333" s="17">
        <f>N("Netflix")-IF(DAY(A333)=Budget!$Q$7,Budget!$P$7,0)</f>
        <v>0</v>
      </c>
      <c r="Y333" s="17">
        <f>N("Spotify")-IF(DAY(A333)=Budget!$Q$8,Budget!$P$8,0)</f>
        <v>0</v>
      </c>
      <c r="Z333" s="17">
        <f>N("Truebill")-IF(DAY(A333)=Budget!$Q$9,Budget!$P$9,0)</f>
        <v>0</v>
      </c>
      <c r="AA333" s="6">
        <f t="shared" si="36"/>
        <v>0</v>
      </c>
    </row>
    <row r="334" spans="1:27" x14ac:dyDescent="0.3">
      <c r="A334" s="4">
        <f t="shared" si="38"/>
        <v>45954</v>
      </c>
      <c r="B334" s="2">
        <f t="shared" si="37"/>
        <v>5626.42</v>
      </c>
      <c r="C334" s="7">
        <f t="shared" si="39"/>
        <v>2</v>
      </c>
      <c r="D334" s="1">
        <f>-320-300</f>
        <v>-620</v>
      </c>
      <c r="E334" s="17">
        <f>N("PAY-LM")+IF(WEEKDAY(A334)=Budget!$C$3,Budget!$B$3,0)</f>
        <v>1453</v>
      </c>
      <c r="F334" s="17">
        <f>N("Rent")-IF(DAY(A334)=Budget!$G$3,Budget!$F$3,0)</f>
        <v>0</v>
      </c>
      <c r="G334" s="17">
        <f>N("Car")-IF(DAY(A334)=Budget!$G$4,Budget!$F$4+Budget!$H$4,0)</f>
        <v>0</v>
      </c>
      <c r="H334" s="17">
        <f>N("Mom Rent")-IF(DAY(A334)=Budget!$G$5,Budget!$F$5,0)</f>
        <v>0</v>
      </c>
      <c r="I334" s="17">
        <f>N("AT&amp;T")-IF(DAY(A334)=Budget!$G$8,Budget!$F$8,0)</f>
        <v>0</v>
      </c>
      <c r="J334" s="17">
        <f>N("GA Power")-IF(DAY(A334)=Budget!$G$9,Budget!$F$9,0)</f>
        <v>0</v>
      </c>
      <c r="K334" s="17">
        <f>N("Haircut")-IF(DAY(A334)=Budget!$G$10,Budget!$F$10,0)</f>
        <v>0</v>
      </c>
      <c r="L334" s="17">
        <f>N("Groceries")-IF(DAY(A334)=Budget!$G$6,Budget!$F$6,0)</f>
        <v>0</v>
      </c>
      <c r="M334" s="17">
        <f>N("Savings")-IF(DAY(A334)=Budget!$G$7,Budget!$F$7,0)</f>
        <v>0</v>
      </c>
      <c r="N334" s="17">
        <f>N("Car Insurance")-COUNTIF(Budget!$G$14, A334)*Budget!$F$14</f>
        <v>0</v>
      </c>
      <c r="O334" s="17">
        <f>N("Phone Bill")-COUNTIF(Budget!$G$15, A334)*Budget!$F$15</f>
        <v>0</v>
      </c>
      <c r="Q334" s="17">
        <f>N("Spotify")-IF(AND(DAY($A334)=Budget!$M$3, MONTH($A334)=Budget!$L$3),Budget!$K$3,0)</f>
        <v>0</v>
      </c>
      <c r="R334" s="17">
        <f>N("Spotify")-IF(AND(DAY($A334)=Budget!$M$4, MONTH($A334)=Budget!$L$4),Budget!$K$4,0)</f>
        <v>0</v>
      </c>
      <c r="S334" s="17">
        <f>N("Spotify")-IF(AND(DAY($A334)=Budget!$M$5, MONTH($A334)=Budget!$L$5),Budget!$K$5,0)</f>
        <v>0</v>
      </c>
      <c r="T334" s="17">
        <f>N("Amazon Prime")-IF(DAY(A334)=Budget!$Q$3,Budget!$P$3,0)</f>
        <v>0</v>
      </c>
      <c r="U334" s="17">
        <f>N("Audible")-IF(DAY(A334)=Budget!$Q$12,Budget!$P$12,0)</f>
        <v>0</v>
      </c>
      <c r="V334" s="17">
        <f>N("Crunchyroll")-IF(DAY(A334)=Budget!$Q$5,Budget!$P$5,0)</f>
        <v>0</v>
      </c>
      <c r="W334" s="17">
        <f>N("HBO Max")-IF(DAY(A334)=Budget!$Q$6,Budget!$P$6,0)</f>
        <v>0</v>
      </c>
      <c r="X334" s="17">
        <f>N("Netflix")-IF(DAY(A334)=Budget!$Q$7,Budget!$P$7,0)</f>
        <v>0</v>
      </c>
      <c r="Y334" s="17">
        <f>N("Spotify")-IF(DAY(A334)=Budget!$Q$8,Budget!$P$8,0)</f>
        <v>0</v>
      </c>
      <c r="Z334" s="17">
        <f>N("Truebill")-IF(DAY(A334)=Budget!$Q$9,Budget!$P$9,0)</f>
        <v>0</v>
      </c>
      <c r="AA334" s="6">
        <f t="shared" si="36"/>
        <v>833</v>
      </c>
    </row>
    <row r="335" spans="1:27" x14ac:dyDescent="0.3">
      <c r="A335" s="4">
        <f t="shared" si="38"/>
        <v>45955</v>
      </c>
      <c r="B335" s="2">
        <f t="shared" si="37"/>
        <v>5626.42</v>
      </c>
      <c r="C335" s="7">
        <f t="shared" si="39"/>
        <v>1</v>
      </c>
      <c r="D335" s="1">
        <v>0</v>
      </c>
      <c r="E335" s="17">
        <f>N("PAY-LM")+IF(WEEKDAY(A335)=Budget!$C$3,Budget!$B$3,0)</f>
        <v>0</v>
      </c>
      <c r="F335" s="17">
        <f>N("Rent")-IF(DAY(A335)=Budget!$G$3,Budget!$F$3,0)</f>
        <v>0</v>
      </c>
      <c r="G335" s="17">
        <f>N("Car")-IF(DAY(A335)=Budget!$G$4,Budget!$F$4+Budget!$H$4,0)</f>
        <v>0</v>
      </c>
      <c r="H335" s="17">
        <f>N("Mom Rent")-IF(DAY(A335)=Budget!$G$5,Budget!$F$5,0)</f>
        <v>0</v>
      </c>
      <c r="I335" s="17">
        <f>N("AT&amp;T")-IF(DAY(A335)=Budget!$G$8,Budget!$F$8,0)</f>
        <v>0</v>
      </c>
      <c r="J335" s="17">
        <f>N("GA Power")-IF(DAY(A335)=Budget!$G$9,Budget!$F$9,0)</f>
        <v>0</v>
      </c>
      <c r="K335" s="17">
        <f>N("Haircut")-IF(DAY(A335)=Budget!$G$10,Budget!$F$10,0)</f>
        <v>0</v>
      </c>
      <c r="L335" s="17">
        <f>N("Groceries")-IF(DAY(A335)=Budget!$G$6,Budget!$F$6,0)</f>
        <v>0</v>
      </c>
      <c r="M335" s="17">
        <f>N("Savings")-IF(DAY(A335)=Budget!$G$7,Budget!$F$7,0)</f>
        <v>0</v>
      </c>
      <c r="N335" s="17">
        <f>N("Car Insurance")-COUNTIF(Budget!$G$14, A335)*Budget!$F$14</f>
        <v>0</v>
      </c>
      <c r="O335" s="17">
        <f>N("Phone Bill")-COUNTIF(Budget!$G$15, A335)*Budget!$F$15</f>
        <v>0</v>
      </c>
      <c r="Q335" s="17">
        <f>N("Spotify")-IF(AND(DAY($A335)=Budget!$M$3, MONTH($A335)=Budget!$L$3),Budget!$K$3,0)</f>
        <v>0</v>
      </c>
      <c r="R335" s="17">
        <f>N("Spotify")-IF(AND(DAY($A335)=Budget!$M$4, MONTH($A335)=Budget!$L$4),Budget!$K$4,0)</f>
        <v>0</v>
      </c>
      <c r="S335" s="17">
        <f>N("Spotify")-IF(AND(DAY($A335)=Budget!$M$5, MONTH($A335)=Budget!$L$5),Budget!$K$5,0)</f>
        <v>0</v>
      </c>
      <c r="T335" s="17">
        <f>N("Amazon Prime")-IF(DAY(A335)=Budget!$Q$3,Budget!$P$3,0)</f>
        <v>0</v>
      </c>
      <c r="U335" s="17">
        <f>N("Audible")-IF(DAY(A335)=Budget!$Q$12,Budget!$P$12,0)</f>
        <v>0</v>
      </c>
      <c r="V335" s="17">
        <f>N("Crunchyroll")-IF(DAY(A335)=Budget!$Q$5,Budget!$P$5,0)</f>
        <v>0</v>
      </c>
      <c r="W335" s="17">
        <f>N("HBO Max")-IF(DAY(A335)=Budget!$Q$6,Budget!$P$6,0)</f>
        <v>0</v>
      </c>
      <c r="X335" s="17">
        <f>N("Netflix")-IF(DAY(A335)=Budget!$Q$7,Budget!$P$7,0)</f>
        <v>0</v>
      </c>
      <c r="Y335" s="17">
        <f>N("Spotify")-IF(DAY(A335)=Budget!$Q$8,Budget!$P$8,0)</f>
        <v>0</v>
      </c>
      <c r="Z335" s="17">
        <f>N("Truebill")-IF(DAY(A335)=Budget!$Q$9,Budget!$P$9,0)</f>
        <v>0</v>
      </c>
      <c r="AA335" s="6">
        <f t="shared" si="36"/>
        <v>0</v>
      </c>
    </row>
    <row r="336" spans="1:27" x14ac:dyDescent="0.3">
      <c r="A336" s="4">
        <f t="shared" si="38"/>
        <v>45956</v>
      </c>
      <c r="B336" s="2">
        <f t="shared" si="37"/>
        <v>5226.42</v>
      </c>
      <c r="C336" s="7">
        <f t="shared" si="39"/>
        <v>0</v>
      </c>
      <c r="D336" s="1">
        <v>0</v>
      </c>
      <c r="E336" s="17">
        <f>N("PAY-LM")+IF(WEEKDAY(A336)=Budget!$C$3,Budget!$B$3,0)</f>
        <v>0</v>
      </c>
      <c r="F336" s="17">
        <f>N("Rent")-IF(DAY(A336)=Budget!$G$3,Budget!$F$3,0)</f>
        <v>0</v>
      </c>
      <c r="G336" s="17">
        <f>N("Car")-IF(DAY(A336)=Budget!$G$4,Budget!$F$4+Budget!$H$4,0)</f>
        <v>0</v>
      </c>
      <c r="H336" s="17">
        <f>N("Mom Rent")-IF(DAY(A336)=Budget!$G$5,Budget!$F$5,0)</f>
        <v>0</v>
      </c>
      <c r="I336" s="17">
        <f>N("AT&amp;T")-IF(DAY(A336)=Budget!$G$8,Budget!$F$8,0)</f>
        <v>0</v>
      </c>
      <c r="J336" s="17">
        <f>N("GA Power")-IF(DAY(A336)=Budget!$G$9,Budget!$F$9,0)</f>
        <v>0</v>
      </c>
      <c r="K336" s="17">
        <f>N("Haircut")-IF(DAY(A336)=Budget!$G$10,Budget!$F$10,0)</f>
        <v>-400</v>
      </c>
      <c r="L336" s="17">
        <f>N("Groceries")-IF(DAY(A336)=Budget!$G$6,Budget!$F$6,0)</f>
        <v>0</v>
      </c>
      <c r="M336" s="17">
        <f>N("Savings")-IF(DAY(A336)=Budget!$G$7,Budget!$F$7,0)</f>
        <v>0</v>
      </c>
      <c r="N336" s="17">
        <f>N("Car Insurance")-COUNTIF(Budget!$G$14, A336)*Budget!$F$14</f>
        <v>0</v>
      </c>
      <c r="O336" s="17">
        <f>N("Phone Bill")-COUNTIF(Budget!$G$15, A336)*Budget!$F$15</f>
        <v>0</v>
      </c>
      <c r="Q336" s="17">
        <f>N("Spotify")-IF(AND(DAY($A336)=Budget!$M$3, MONTH($A336)=Budget!$L$3),Budget!$K$3,0)</f>
        <v>0</v>
      </c>
      <c r="R336" s="17">
        <f>N("Spotify")-IF(AND(DAY($A336)=Budget!$M$4, MONTH($A336)=Budget!$L$4),Budget!$K$4,0)</f>
        <v>0</v>
      </c>
      <c r="S336" s="17">
        <f>N("Spotify")-IF(AND(DAY($A336)=Budget!$M$5, MONTH($A336)=Budget!$L$5),Budget!$K$5,0)</f>
        <v>0</v>
      </c>
      <c r="T336" s="17">
        <f>N("Amazon Prime")-IF(DAY(A336)=Budget!$Q$3,Budget!$P$3,0)</f>
        <v>0</v>
      </c>
      <c r="U336" s="17">
        <f>N("Audible")-IF(DAY(A336)=Budget!$Q$12,Budget!$P$12,0)</f>
        <v>0</v>
      </c>
      <c r="V336" s="17">
        <f>N("Crunchyroll")-IF(DAY(A336)=Budget!$Q$5,Budget!$P$5,0)</f>
        <v>0</v>
      </c>
      <c r="W336" s="17">
        <f>N("HBO Max")-IF(DAY(A336)=Budget!$Q$6,Budget!$P$6,0)</f>
        <v>0</v>
      </c>
      <c r="X336" s="17">
        <f>N("Netflix")-IF(DAY(A336)=Budget!$Q$7,Budget!$P$7,0)</f>
        <v>0</v>
      </c>
      <c r="Y336" s="17">
        <f>N("Spotify")-IF(DAY(A336)=Budget!$Q$8,Budget!$P$8,0)</f>
        <v>0</v>
      </c>
      <c r="Z336" s="17">
        <f>N("Truebill")-IF(DAY(A336)=Budget!$Q$9,Budget!$P$9,0)</f>
        <v>0</v>
      </c>
      <c r="AA336" s="6">
        <f t="shared" si="36"/>
        <v>-400</v>
      </c>
    </row>
    <row r="337" spans="1:30" x14ac:dyDescent="0.3">
      <c r="A337" s="4">
        <f t="shared" si="38"/>
        <v>45957</v>
      </c>
      <c r="B337" s="2">
        <f t="shared" si="37"/>
        <v>5226.42</v>
      </c>
      <c r="C337" s="7">
        <f t="shared" si="39"/>
        <v>1</v>
      </c>
      <c r="D337" s="1">
        <v>0</v>
      </c>
      <c r="E337" s="17">
        <f>N("PAY-LM")+IF(WEEKDAY(A337)=Budget!$C$3,Budget!$B$3,0)</f>
        <v>0</v>
      </c>
      <c r="F337" s="17">
        <f>N("Rent")-IF(DAY(A337)=Budget!$G$3,Budget!$F$3,0)</f>
        <v>0</v>
      </c>
      <c r="G337" s="17">
        <f>N("Car")-IF(DAY(A337)=Budget!$G$4,Budget!$F$4+Budget!$H$4,0)</f>
        <v>0</v>
      </c>
      <c r="H337" s="17">
        <f>N("Mom Rent")-IF(DAY(A337)=Budget!$G$5,Budget!$F$5,0)</f>
        <v>0</v>
      </c>
      <c r="I337" s="17">
        <f>N("AT&amp;T")-IF(DAY(A337)=Budget!$G$8,Budget!$F$8,0)</f>
        <v>0</v>
      </c>
      <c r="J337" s="17">
        <f>N("GA Power")-IF(DAY(A337)=Budget!$G$9,Budget!$F$9,0)</f>
        <v>0</v>
      </c>
      <c r="K337" s="17">
        <f>N("Haircut")-IF(DAY(A337)=Budget!$G$10,Budget!$F$10,0)</f>
        <v>0</v>
      </c>
      <c r="L337" s="17">
        <f>N("Groceries")-IF(DAY(A337)=Budget!$G$6,Budget!$F$6,0)</f>
        <v>0</v>
      </c>
      <c r="M337" s="17">
        <f>N("Savings")-IF(DAY(A337)=Budget!$G$7,Budget!$F$7,0)</f>
        <v>0</v>
      </c>
      <c r="N337" s="17">
        <f>N("Car Insurance")-COUNTIF(Budget!$G$14, A337)*Budget!$F$14</f>
        <v>0</v>
      </c>
      <c r="O337" s="17">
        <f>N("Phone Bill")-COUNTIF(Budget!$G$15, A337)*Budget!$F$15</f>
        <v>0</v>
      </c>
      <c r="Q337" s="17">
        <f>N("Spotify")-IF(AND(DAY($A337)=Budget!$M$3, MONTH($A337)=Budget!$L$3),Budget!$K$3,0)</f>
        <v>0</v>
      </c>
      <c r="R337" s="17">
        <f>N("Spotify")-IF(AND(DAY($A337)=Budget!$M$4, MONTH($A337)=Budget!$L$4),Budget!$K$4,0)</f>
        <v>0</v>
      </c>
      <c r="S337" s="17">
        <f>N("Spotify")-IF(AND(DAY($A337)=Budget!$M$5, MONTH($A337)=Budget!$L$5),Budget!$K$5,0)</f>
        <v>0</v>
      </c>
      <c r="T337" s="17">
        <f>N("Amazon Prime")-IF(DAY(A337)=Budget!$Q$3,Budget!$P$3,0)</f>
        <v>0</v>
      </c>
      <c r="U337" s="17">
        <f>N("Audible")-IF(DAY(A337)=Budget!$Q$12,Budget!$P$12,0)</f>
        <v>0</v>
      </c>
      <c r="V337" s="17">
        <f>N("Crunchyroll")-IF(DAY(A337)=Budget!$Q$5,Budget!$P$5,0)</f>
        <v>0</v>
      </c>
      <c r="W337" s="17">
        <f>N("HBO Max")-IF(DAY(A337)=Budget!$Q$6,Budget!$P$6,0)</f>
        <v>0</v>
      </c>
      <c r="X337" s="17">
        <f>N("Netflix")-IF(DAY(A337)=Budget!$Q$7,Budget!$P$7,0)</f>
        <v>0</v>
      </c>
      <c r="Y337" s="17">
        <f>N("Spotify")-IF(DAY(A337)=Budget!$Q$8,Budget!$P$8,0)</f>
        <v>0</v>
      </c>
      <c r="Z337" s="17">
        <f>N("Truebill")-IF(DAY(A337)=Budget!$Q$9,Budget!$P$9,0)</f>
        <v>0</v>
      </c>
      <c r="AA337" s="6">
        <f t="shared" si="36"/>
        <v>0</v>
      </c>
    </row>
    <row r="338" spans="1:30" x14ac:dyDescent="0.3">
      <c r="A338" s="4">
        <f t="shared" si="38"/>
        <v>45958</v>
      </c>
      <c r="B338" s="2">
        <f t="shared" si="37"/>
        <v>4076.42</v>
      </c>
      <c r="C338" s="7">
        <f t="shared" si="39"/>
        <v>0</v>
      </c>
      <c r="D338" s="1">
        <v>0</v>
      </c>
      <c r="E338" s="17">
        <f>N("PAY-LM")+IF(WEEKDAY(A338)=Budget!$C$3,Budget!$B$3,0)</f>
        <v>0</v>
      </c>
      <c r="F338" s="17">
        <f>N("Rent")-IF(DAY(A338)=Budget!$G$3,Budget!$F$3,0)</f>
        <v>0</v>
      </c>
      <c r="G338" s="17">
        <f>N("Car")-IF(DAY(A338)=Budget!$G$4,Budget!$F$4+Budget!$H$4,0)</f>
        <v>0</v>
      </c>
      <c r="H338" s="17">
        <f>N("Mom Rent")-IF(DAY(A338)=Budget!$G$5,Budget!$F$5,0)</f>
        <v>0</v>
      </c>
      <c r="I338" s="17">
        <f>N("AT&amp;T")-IF(DAY(A338)=Budget!$G$8,Budget!$F$8,0)</f>
        <v>0</v>
      </c>
      <c r="J338" s="17">
        <f>N("GA Power")-IF(DAY(A338)=Budget!$G$9,Budget!$F$9,0)</f>
        <v>0</v>
      </c>
      <c r="K338" s="17">
        <f>N("Haircut")-IF(DAY(A338)=Budget!$G$10,Budget!$F$10,0)</f>
        <v>0</v>
      </c>
      <c r="L338" s="17">
        <f>N("Groceries")-IF(DAY(A338)=Budget!$G$6,Budget!$F$6,0)</f>
        <v>0</v>
      </c>
      <c r="M338" s="17">
        <f>N("Savings")-IF(DAY(A338)=Budget!$G$7,Budget!$F$7,0)</f>
        <v>-1000</v>
      </c>
      <c r="N338" s="17">
        <f>N("Car Insurance")-COUNTIF(Budget!$G$14, A338)*Budget!$F$14</f>
        <v>0</v>
      </c>
      <c r="O338" s="17">
        <f>N("Phone Bill")-COUNTIF(Budget!$G$15, A338)*Budget!$F$15</f>
        <v>0</v>
      </c>
      <c r="Q338" s="17">
        <f>N("Spotify")-IF(AND(DAY($A338)=Budget!$M$3, MONTH($A338)=Budget!$L$3),Budget!$K$3,0)</f>
        <v>0</v>
      </c>
      <c r="R338" s="17">
        <f>N("Spotify")-IF(AND(DAY($A338)=Budget!$M$4, MONTH($A338)=Budget!$L$4),Budget!$K$4,0)</f>
        <v>0</v>
      </c>
      <c r="S338" s="17">
        <f>N("Spotify")-IF(AND(DAY($A338)=Budget!$M$5, MONTH($A338)=Budget!$L$5),Budget!$K$5,0)</f>
        <v>0</v>
      </c>
      <c r="T338" s="17">
        <f>N("Amazon Prime")-IF(DAY(A338)=Budget!$Q$3,Budget!$P$3,0)</f>
        <v>0</v>
      </c>
      <c r="U338" s="17">
        <f>N("Audible")-IF(DAY(A338)=Budget!$Q$12,Budget!$P$12,0)</f>
        <v>0</v>
      </c>
      <c r="V338" s="17">
        <f>N("Crunchyroll")-IF(DAY(A338)=Budget!$Q$5,Budget!$P$5,0)</f>
        <v>0</v>
      </c>
      <c r="W338" s="17">
        <f>N("HBO Max")-IF(DAY(A338)=Budget!$Q$6,Budget!$P$6,0)</f>
        <v>0</v>
      </c>
      <c r="X338" s="17">
        <f>N("Netflix")-IF(DAY(A338)=Budget!$Q$7,Budget!$P$7,0)</f>
        <v>0</v>
      </c>
      <c r="Y338" s="17">
        <f>N("Spotify")-IF(DAY(A338)=Budget!$Q$8,Budget!$P$8,0)</f>
        <v>-150</v>
      </c>
      <c r="Z338" s="17">
        <f>N("Truebill")-IF(DAY(A338)=Budget!$Q$9,Budget!$P$9,0)</f>
        <v>0</v>
      </c>
      <c r="AA338" s="6">
        <f t="shared" si="36"/>
        <v>-1150</v>
      </c>
    </row>
    <row r="339" spans="1:30" x14ac:dyDescent="0.3">
      <c r="A339" s="4">
        <f t="shared" si="38"/>
        <v>45959</v>
      </c>
      <c r="B339" s="2">
        <f t="shared" si="37"/>
        <v>4051.82</v>
      </c>
      <c r="C339" s="7">
        <f>IF(B339&gt;B338,2,IF(B339=B338, 1,0))</f>
        <v>0</v>
      </c>
      <c r="D339" s="1">
        <v>0</v>
      </c>
      <c r="E339" s="17">
        <f>N("PAY-LM")+IF(WEEKDAY(A339)=Budget!$C$3,Budget!$B$3,0)</f>
        <v>0</v>
      </c>
      <c r="F339" s="17">
        <f>N("Rent")-IF(DAY(A339)=Budget!$G$3,Budget!$F$3,0)</f>
        <v>0</v>
      </c>
      <c r="G339" s="17">
        <f>N("Car")-IF(DAY(A339)=Budget!$G$4,Budget!$F$4+Budget!$H$4,0)</f>
        <v>0</v>
      </c>
      <c r="H339" s="17">
        <f>N("Mom Rent")-IF(DAY(A339)=Budget!$G$5,Budget!$F$5,0)</f>
        <v>0</v>
      </c>
      <c r="I339" s="17">
        <f>N("AT&amp;T")-IF(DAY(A339)=Budget!$G$8,Budget!$F$8,0)</f>
        <v>0</v>
      </c>
      <c r="J339" s="17">
        <f>N("GA Power")-IF(DAY(A339)=Budget!$G$9,Budget!$F$9,0)</f>
        <v>0</v>
      </c>
      <c r="K339" s="17">
        <f>N("Haircut")-IF(DAY(A339)=Budget!$G$10,Budget!$F$10,0)</f>
        <v>0</v>
      </c>
      <c r="L339" s="17">
        <f>N("Groceries")-IF(DAY(A339)=Budget!$G$6,Budget!$F$6,0)</f>
        <v>0</v>
      </c>
      <c r="M339" s="17">
        <f>N("Savings")-IF(DAY(A339)=Budget!$G$7,Budget!$F$7,0)</f>
        <v>0</v>
      </c>
      <c r="N339" s="17">
        <f>N("Car Insurance")-COUNTIF(Budget!$G$14, A339)*Budget!$F$14</f>
        <v>0</v>
      </c>
      <c r="O339" s="17">
        <f>N("Phone Bill")-COUNTIF(Budget!$G$15, A339)*Budget!$F$15</f>
        <v>0</v>
      </c>
      <c r="Q339" s="17">
        <f>N("Spotify")-IF(AND(DAY($A339)=Budget!$M$3, MONTH($A339)=Budget!$L$3),Budget!$K$3,0)</f>
        <v>0</v>
      </c>
      <c r="R339" s="17">
        <f>N("Spotify")-IF(AND(DAY($A339)=Budget!$M$4, MONTH($A339)=Budget!$L$4),Budget!$K$4,0)</f>
        <v>0</v>
      </c>
      <c r="S339" s="17">
        <f>N("Spotify")-IF(AND(DAY($A339)=Budget!$M$5, MONTH($A339)=Budget!$L$5),Budget!$K$5,0)</f>
        <v>0</v>
      </c>
      <c r="T339" s="17">
        <f>N("Amazon Prime")-IF(DAY(A339)=Budget!$Q$3,Budget!$P$3,0)</f>
        <v>0</v>
      </c>
      <c r="U339" s="17">
        <f>N("Audible")-IF(DAY(A339)=Budget!$Q$12,Budget!$P$12,0)</f>
        <v>0</v>
      </c>
      <c r="V339" s="17">
        <f>N("Crunchyroll")-IF(DAY(A339)=Budget!$Q$5,Budget!$P$5,0)</f>
        <v>-24.6</v>
      </c>
      <c r="W339" s="17">
        <f>N("HBO Max")-IF(DAY(A339)=Budget!$Q$6,Budget!$P$6,0)</f>
        <v>0</v>
      </c>
      <c r="X339" s="17">
        <f>N("Netflix")-IF(DAY(A339)=Budget!$Q$7,Budget!$P$7,0)</f>
        <v>0</v>
      </c>
      <c r="Y339" s="17">
        <f>N("Spotify")-IF(DAY(A339)=Budget!$Q$8,Budget!$P$8,0)</f>
        <v>0</v>
      </c>
      <c r="Z339" s="17">
        <f>N("Truebill")-IF(DAY(A339)=Budget!$Q$9,Budget!$P$9,0)</f>
        <v>0</v>
      </c>
      <c r="AA339" s="6">
        <f t="shared" si="36"/>
        <v>-24.6</v>
      </c>
    </row>
    <row r="340" spans="1:30" x14ac:dyDescent="0.3">
      <c r="A340" s="4">
        <f t="shared" si="38"/>
        <v>45960</v>
      </c>
      <c r="B340" s="2">
        <f t="shared" si="37"/>
        <v>4051.82</v>
      </c>
      <c r="C340" s="7">
        <f>IF(B340&gt;B339,2,IF(B340=B339, 1,0))</f>
        <v>1</v>
      </c>
      <c r="D340" s="1">
        <v>0</v>
      </c>
      <c r="E340" s="17">
        <f>N("PAY-LM")+IF(WEEKDAY(A340)=Budget!$C$3,Budget!$B$3,0)</f>
        <v>0</v>
      </c>
      <c r="F340" s="17">
        <f>N("Rent")-IF(DAY(A340)=Budget!$G$3,Budget!$F$3,0)</f>
        <v>0</v>
      </c>
      <c r="G340" s="17">
        <f>N("Car")-IF(DAY(A340)=Budget!$G$4,Budget!$F$4+Budget!$H$4,0)</f>
        <v>0</v>
      </c>
      <c r="H340" s="17">
        <f>N("Mom Rent")-IF(DAY(A340)=Budget!$G$5,Budget!$F$5,0)</f>
        <v>0</v>
      </c>
      <c r="I340" s="17">
        <f>N("AT&amp;T")-IF(DAY(A340)=Budget!$G$8,Budget!$F$8,0)</f>
        <v>0</v>
      </c>
      <c r="J340" s="17">
        <f>N("GA Power")-IF(DAY(A340)=Budget!$G$9,Budget!$F$9,0)</f>
        <v>0</v>
      </c>
      <c r="K340" s="17">
        <f>N("Haircut")-IF(DAY(A340)=Budget!$G$10,Budget!$F$10,0)</f>
        <v>0</v>
      </c>
      <c r="L340" s="17">
        <f>N("Groceries")-IF(DAY(A340)=Budget!$G$6,Budget!$F$6,0)</f>
        <v>0</v>
      </c>
      <c r="M340" s="17">
        <f>N("Savings")-IF(DAY(A340)=Budget!$G$7,Budget!$F$7,0)</f>
        <v>0</v>
      </c>
      <c r="N340" s="17">
        <f>N("Car Insurance")-COUNTIF(Budget!$G$14, A340)*Budget!$F$14</f>
        <v>0</v>
      </c>
      <c r="O340" s="17">
        <f>N("Phone Bill")-COUNTIF(Budget!$G$15, A340)*Budget!$F$15</f>
        <v>0</v>
      </c>
      <c r="Q340" s="17">
        <f>N("Spotify")-IF(AND(DAY($A340)=Budget!$M$3, MONTH($A340)=Budget!$L$3),Budget!$K$3,0)</f>
        <v>0</v>
      </c>
      <c r="R340" s="17">
        <f>N("Spotify")-IF(AND(DAY($A340)=Budget!$M$4, MONTH($A340)=Budget!$L$4),Budget!$K$4,0)</f>
        <v>0</v>
      </c>
      <c r="S340" s="17">
        <f>N("Spotify")-IF(AND(DAY($A340)=Budget!$M$5, MONTH($A340)=Budget!$L$5),Budget!$K$5,0)</f>
        <v>0</v>
      </c>
      <c r="T340" s="17">
        <f>N("Amazon Prime")-IF(DAY(A340)=Budget!$Q$3,Budget!$P$3,0)</f>
        <v>0</v>
      </c>
      <c r="U340" s="17">
        <f>N("Audible")-IF(DAY(A340)=Budget!$Q$12,Budget!$P$12,0)</f>
        <v>0</v>
      </c>
      <c r="V340" s="17">
        <f>N("Crunchyroll")-IF(DAY(A340)=Budget!$Q$5,Budget!$P$5,0)</f>
        <v>0</v>
      </c>
      <c r="W340" s="17">
        <f>N("HBO Max")-IF(DAY(A340)=Budget!$Q$6,Budget!$P$6,0)</f>
        <v>0</v>
      </c>
      <c r="X340" s="17">
        <f>N("Netflix")-IF(DAY(A340)=Budget!$Q$7,Budget!$P$7,0)</f>
        <v>0</v>
      </c>
      <c r="Y340" s="17">
        <f>N("Spotify")-IF(DAY(A340)=Budget!$Q$8,Budget!$P$8,0)</f>
        <v>0</v>
      </c>
      <c r="Z340" s="17">
        <f>N("Truebill")-IF(DAY(A340)=Budget!$Q$9,Budget!$P$9,0)</f>
        <v>0</v>
      </c>
      <c r="AA340" s="6">
        <f t="shared" si="36"/>
        <v>0</v>
      </c>
    </row>
    <row r="341" spans="1:30" x14ac:dyDescent="0.3">
      <c r="A341" s="4">
        <f t="shared" si="38"/>
        <v>45961</v>
      </c>
      <c r="B341" s="2">
        <f t="shared" si="37"/>
        <v>5504.82</v>
      </c>
      <c r="C341" s="7">
        <f>IF(B341&gt;B340,2,IF(B341=B340, 1,0))</f>
        <v>2</v>
      </c>
      <c r="D341" s="1">
        <v>0</v>
      </c>
      <c r="E341" s="17">
        <f>N("PAY-LM")+IF(WEEKDAY(A341)=Budget!$C$3,Budget!$B$3,0)</f>
        <v>1453</v>
      </c>
      <c r="F341" s="17">
        <f>N("Rent")-IF(DAY(A341)=Budget!$G$3,Budget!$F$3,0)</f>
        <v>0</v>
      </c>
      <c r="G341" s="17">
        <f>N("Car")-IF(DAY(A341)=Budget!$G$4,Budget!$F$4+Budget!$H$4,0)</f>
        <v>0</v>
      </c>
      <c r="H341" s="17">
        <f>N("Mom Rent")-IF(DAY(A341)=Budget!$G$5,Budget!$F$5,0)</f>
        <v>0</v>
      </c>
      <c r="I341" s="17">
        <f>N("AT&amp;T")-IF(DAY(A341)=Budget!$G$8,Budget!$F$8,0)</f>
        <v>0</v>
      </c>
      <c r="J341" s="17">
        <f>N("GA Power")-IF(DAY(A341)=Budget!$G$9,Budget!$F$9,0)</f>
        <v>0</v>
      </c>
      <c r="K341" s="17">
        <f>N("Haircut")-IF(DAY(A341)=Budget!$G$10,Budget!$F$10,0)</f>
        <v>0</v>
      </c>
      <c r="L341" s="17">
        <f>N("Groceries")-IF(DAY(A341)=Budget!$G$6,Budget!$F$6,0)</f>
        <v>0</v>
      </c>
      <c r="M341" s="17">
        <f>N("Savings")-IF(DAY(A341)=Budget!$G$7,Budget!$F$7,0)</f>
        <v>0</v>
      </c>
      <c r="N341" s="17">
        <f>N("Car Insurance")-COUNTIF(Budget!$G$14, A341)*Budget!$F$14</f>
        <v>0</v>
      </c>
      <c r="O341" s="17">
        <f>N("Phone Bill")-COUNTIF(Budget!$G$15, A341)*Budget!$F$15</f>
        <v>0</v>
      </c>
      <c r="Q341" s="17">
        <f>N("Spotify")-IF(AND(DAY($A341)=Budget!$M$3, MONTH($A341)=Budget!$L$3),Budget!$K$3,0)</f>
        <v>0</v>
      </c>
      <c r="R341" s="17">
        <f>N("Spotify")-IF(AND(DAY($A341)=Budget!$M$4, MONTH($A341)=Budget!$L$4),Budget!$K$4,0)</f>
        <v>0</v>
      </c>
      <c r="S341" s="17">
        <f>N("Spotify")-IF(AND(DAY($A341)=Budget!$M$5, MONTH($A341)=Budget!$L$5),Budget!$K$5,0)</f>
        <v>0</v>
      </c>
      <c r="T341" s="17">
        <f>N("Amazon Prime")-IF(DAY(A341)=Budget!$Q$3,Budget!$P$3,0)</f>
        <v>0</v>
      </c>
      <c r="U341" s="17">
        <f>N("Audible")-IF(DAY(A341)=Budget!$Q$12,Budget!$P$12,0)</f>
        <v>0</v>
      </c>
      <c r="V341" s="17">
        <f>N("Crunchyroll")-IF(DAY(A341)=Budget!$Q$5,Budget!$P$5,0)</f>
        <v>0</v>
      </c>
      <c r="W341" s="17">
        <f>N("HBO Max")-IF(DAY(A341)=Budget!$Q$6,Budget!$P$6,0)</f>
        <v>0</v>
      </c>
      <c r="X341" s="17">
        <f>N("Netflix")-IF(DAY(A341)=Budget!$Q$7,Budget!$P$7,0)</f>
        <v>0</v>
      </c>
      <c r="Y341" s="17">
        <f>N("Spotify")-IF(DAY(A341)=Budget!$Q$8,Budget!$P$8,0)</f>
        <v>0</v>
      </c>
      <c r="Z341" s="17">
        <f>N("Truebill")-IF(DAY(A341)=Budget!$Q$9,Budget!$P$9,0)</f>
        <v>0</v>
      </c>
      <c r="AA341" s="6">
        <f t="shared" si="36"/>
        <v>1453</v>
      </c>
    </row>
    <row r="344" spans="1:30" x14ac:dyDescent="0.3">
      <c r="D344" s="40" t="s">
        <v>17</v>
      </c>
      <c r="E344" s="41" t="s">
        <v>15</v>
      </c>
      <c r="F344" s="41"/>
      <c r="G344" s="41"/>
      <c r="H344" s="41"/>
      <c r="I344" s="41"/>
      <c r="J344" s="41"/>
      <c r="K344" s="41"/>
      <c r="L344" s="41"/>
      <c r="M344" s="41"/>
      <c r="N344" s="42" t="str">
        <f>Budget!$E$12</f>
        <v>Annual Expenses</v>
      </c>
      <c r="O344" s="42"/>
      <c r="Q344" s="43" t="s">
        <v>36</v>
      </c>
      <c r="R344" s="43"/>
      <c r="S344" s="43"/>
      <c r="T344" s="41" t="s">
        <v>8</v>
      </c>
      <c r="U344" s="41"/>
      <c r="V344" s="41"/>
      <c r="W344" s="41"/>
      <c r="X344" s="41"/>
      <c r="Y344" s="41"/>
      <c r="Z344" s="41"/>
      <c r="AA344" s="10" t="s">
        <v>16</v>
      </c>
      <c r="AC344" s="6">
        <f>SUMIF(D346:Z375,"&lt;0")</f>
        <v>-5121.42</v>
      </c>
      <c r="AD344" s="6">
        <f>SUM(E346:E375)</f>
        <v>5812</v>
      </c>
    </row>
    <row r="345" spans="1:30" x14ac:dyDescent="0.3">
      <c r="A345" s="39">
        <f>EDATE(A310,1)</f>
        <v>45962</v>
      </c>
      <c r="B345" s="39"/>
      <c r="D345" s="40"/>
      <c r="E345" s="18" t="str">
        <f>Budget!$A$3</f>
        <v>PAY-LM</v>
      </c>
      <c r="F345" t="str">
        <f>Budget!$E$3</f>
        <v>Rent</v>
      </c>
      <c r="G345" t="str">
        <f>Budget!$E$4</f>
        <v>Car</v>
      </c>
      <c r="H345" t="str">
        <f>Budget!$E$5</f>
        <v>Mom Rent</v>
      </c>
      <c r="I345" t="str">
        <f>Budget!$E$8</f>
        <v>AT&amp;T</v>
      </c>
      <c r="J345" t="str">
        <f>Budget!$E$9</f>
        <v>GA Power</v>
      </c>
      <c r="K345" t="str">
        <f>Budget!$E$10</f>
        <v>TH</v>
      </c>
      <c r="L345" t="str">
        <f>Budget!$E$6</f>
        <v>Groceries</v>
      </c>
      <c r="M345" s="16" t="str">
        <f>Budget!$E$7</f>
        <v>Savings</v>
      </c>
      <c r="N345" t="str">
        <f>Budget!$E$14</f>
        <v>Car Insurance</v>
      </c>
      <c r="O345" t="str">
        <f>Budget!$E$15</f>
        <v>Phone Bill</v>
      </c>
      <c r="Q345" t="str">
        <f>Budget!$J$3</f>
        <v>Capital One</v>
      </c>
      <c r="R345" t="str">
        <f>Budget!$J$4</f>
        <v>Chase</v>
      </c>
      <c r="S345" t="str">
        <f>Budget!$J$5</f>
        <v>NFCU</v>
      </c>
      <c r="T345" t="str">
        <f>Budget!$O$3</f>
        <v>Amazon Prime</v>
      </c>
      <c r="U345" t="str">
        <f>Budget!$O$12</f>
        <v>Audible</v>
      </c>
      <c r="V345" t="str">
        <f>Budget!$O$5</f>
        <v>Netflix</v>
      </c>
      <c r="W345" t="str">
        <f>Budget!$O$6</f>
        <v>Spotify</v>
      </c>
      <c r="X345" t="str">
        <f>Budget!$O$7</f>
        <v>Rocket Money</v>
      </c>
      <c r="Y345" t="str">
        <f>Budget!$O$8</f>
        <v>Little4Much</v>
      </c>
      <c r="Z345" t="str">
        <f>Budget!$O$9</f>
        <v>None</v>
      </c>
      <c r="AA345" s="10"/>
      <c r="AC345" s="3">
        <f>AD344+AC344</f>
        <v>690.57999999999993</v>
      </c>
    </row>
    <row r="346" spans="1:30" x14ac:dyDescent="0.3">
      <c r="A346" s="4">
        <f>A345</f>
        <v>45962</v>
      </c>
      <c r="B346" s="2">
        <f>B341+AA346</f>
        <v>3771.8199999999997</v>
      </c>
      <c r="C346" s="7">
        <f>IF(B346&gt;B341,2,IF(B346=B341, 1,0))</f>
        <v>0</v>
      </c>
      <c r="D346" s="1">
        <v>0</v>
      </c>
      <c r="E346" s="17">
        <f>N("PAY-LM")+IF(WEEKDAY(A346)=Budget!$C$3,Budget!$B$3,0)</f>
        <v>0</v>
      </c>
      <c r="F346" s="17">
        <f>N("Rent")-IF(DAY(A346)=Budget!$G$3,Budget!$F$3,0)</f>
        <v>-1733</v>
      </c>
      <c r="G346" s="17">
        <f>N("Car")-IF(DAY(A346)=Budget!$G$4,Budget!$F$4+Budget!$H$4,0)</f>
        <v>0</v>
      </c>
      <c r="H346" s="17">
        <f>N("Mom Rent")-IF(DAY(A346)=Budget!$G$5,Budget!$F$5,0)</f>
        <v>0</v>
      </c>
      <c r="I346" s="17">
        <f>N("AT&amp;T")-IF(DAY(A346)=Budget!$G$8,Budget!$F$8,0)</f>
        <v>0</v>
      </c>
      <c r="J346" s="17">
        <f>N("GA Power")-IF(DAY(A346)=Budget!$G$9,Budget!$F$9,0)</f>
        <v>0</v>
      </c>
      <c r="K346" s="17">
        <f>N("Haircut")-IF(DAY(A346)=Budget!$G$10,Budget!$F$10,0)</f>
        <v>0</v>
      </c>
      <c r="L346" s="17">
        <f>N("Groceries")-IF(DAY(A346)=Budget!$G$6,Budget!$F$6,0)</f>
        <v>0</v>
      </c>
      <c r="M346" s="17">
        <f>N("Savings")-IF(DAY(A346)=Budget!$G$7,Budget!$F$7,0)</f>
        <v>0</v>
      </c>
      <c r="N346" s="17">
        <f>N("Car Insurance")-COUNTIF(Budget!$G$14, A346)*Budget!$F$14</f>
        <v>0</v>
      </c>
      <c r="O346" s="17">
        <f>N("Phone Bill")-COUNTIF(Budget!$G$15, A346)*Budget!$F$15</f>
        <v>0</v>
      </c>
      <c r="Q346" s="17">
        <f>N("Spotify")-IF(AND(DAY($A346)=Budget!$M$3, MONTH($A346)=Budget!$L$3),Budget!$K$3,0)</f>
        <v>0</v>
      </c>
      <c r="R346" s="17">
        <f>N("Spotify")-IF(AND(DAY($A346)=Budget!$M$4, MONTH($A346)=Budget!$L$4),Budget!$K$4,0)</f>
        <v>0</v>
      </c>
      <c r="S346" s="17">
        <f>N("Spotify")-IF(AND(DAY($A346)=Budget!$M$5, MONTH($A346)=Budget!$L$5),Budget!$K$5,0)</f>
        <v>0</v>
      </c>
      <c r="T346" s="17">
        <f>N("Amazon Prime")-IF(DAY(A346)=Budget!$Q$3,Budget!$P$3,0)</f>
        <v>0</v>
      </c>
      <c r="U346" s="17">
        <f>N("Audible")-IF(DAY(A346)=Budget!$Q$12,Budget!$P$12,0)</f>
        <v>0</v>
      </c>
      <c r="V346" s="17">
        <f>N("Crunchyroll")-IF(DAY(A346)=Budget!$Q$5,Budget!$P$5,0)</f>
        <v>0</v>
      </c>
      <c r="W346" s="17">
        <f>N("HBO Max")-IF(DAY(A346)=Budget!$Q$6,Budget!$P$6,0)</f>
        <v>0</v>
      </c>
      <c r="X346" s="17">
        <f>N("Netflix")-IF(DAY(A346)=Budget!$Q$7,Budget!$P$7,0)</f>
        <v>0</v>
      </c>
      <c r="Y346" s="17">
        <f>N("Spotify")-IF(DAY(A346)=Budget!$Q$8,Budget!$P$8,0)</f>
        <v>0</v>
      </c>
      <c r="Z346" s="17">
        <f>N("Truebill")-IF(DAY(A346)=Budget!$Q$9,Budget!$P$9,0)</f>
        <v>0</v>
      </c>
      <c r="AA346" s="6">
        <f t="shared" ref="AA346:AA375" si="40">SUM(D346:Z346)</f>
        <v>-1733</v>
      </c>
    </row>
    <row r="347" spans="1:30" x14ac:dyDescent="0.3">
      <c r="A347" s="4">
        <f>A346+1</f>
        <v>45963</v>
      </c>
      <c r="B347" s="2">
        <f t="shared" ref="B347:B375" si="41">B346+AA347</f>
        <v>2968.47</v>
      </c>
      <c r="C347" s="7">
        <f>IF(B347&gt;B346,2,IF(B347=B346, 1,0))</f>
        <v>0</v>
      </c>
      <c r="D347" s="1">
        <v>0</v>
      </c>
      <c r="E347" s="17">
        <f>N("PAY-LM")+IF(WEEKDAY(A347)=Budget!$C$3,Budget!$B$3,0)</f>
        <v>0</v>
      </c>
      <c r="F347" s="17">
        <f>N("Rent")-IF(DAY(A347)=Budget!$G$3,Budget!$F$3,0)</f>
        <v>0</v>
      </c>
      <c r="G347" s="17">
        <f>N("Car")-IF(DAY(A347)=Budget!$G$4,Budget!$F$4+Budget!$H$4,0)</f>
        <v>-503.35</v>
      </c>
      <c r="H347" s="17">
        <f>N("Mom Rent")-IF(DAY(A347)=Budget!$G$5,Budget!$F$5,0)</f>
        <v>0</v>
      </c>
      <c r="I347" s="17">
        <f>N("AT&amp;T")-IF(DAY(A347)=Budget!$G$8,Budget!$F$8,0)</f>
        <v>0</v>
      </c>
      <c r="J347" s="17">
        <f>N("GA Power")-IF(DAY(A347)=Budget!$G$9,Budget!$F$9,0)</f>
        <v>0</v>
      </c>
      <c r="K347" s="17">
        <f>N("Haircut")-IF(DAY(A347)=Budget!$G$10,Budget!$F$10,0)</f>
        <v>0</v>
      </c>
      <c r="L347" s="17">
        <f>N("Groceries")-IF(DAY(A347)=Budget!$G$6,Budget!$F$6,0)</f>
        <v>-300</v>
      </c>
      <c r="M347" s="17">
        <f>N("Savings")-IF(DAY(A347)=Budget!$G$7,Budget!$F$7,0)</f>
        <v>0</v>
      </c>
      <c r="N347" s="17">
        <f>N("Car Insurance")-COUNTIF(Budget!$G$14, A347)*Budget!$F$14</f>
        <v>0</v>
      </c>
      <c r="O347" s="17">
        <f>N("Phone Bill")-COUNTIF(Budget!$G$15, A347)*Budget!$F$15</f>
        <v>0</v>
      </c>
      <c r="Q347" s="17">
        <f>N("Spotify")-IF(AND(DAY($A347)=Budget!$M$3, MONTH($A347)=Budget!$L$3),Budget!$K$3,0)</f>
        <v>0</v>
      </c>
      <c r="R347" s="17">
        <f>N("Spotify")-IF(AND(DAY($A347)=Budget!$M$4, MONTH($A347)=Budget!$L$4),Budget!$K$4,0)</f>
        <v>0</v>
      </c>
      <c r="S347" s="17">
        <f>N("Spotify")-IF(AND(DAY($A347)=Budget!$M$5, MONTH($A347)=Budget!$L$5),Budget!$K$5,0)</f>
        <v>0</v>
      </c>
      <c r="T347" s="17">
        <f>N("Amazon Prime")-IF(DAY(A347)=Budget!$Q$3,Budget!$P$3,0)</f>
        <v>0</v>
      </c>
      <c r="U347" s="17">
        <f>N("Audible")-IF(DAY(A347)=Budget!$Q$12,Budget!$P$12,0)</f>
        <v>0</v>
      </c>
      <c r="V347" s="17">
        <f>N("Crunchyroll")-IF(DAY(A347)=Budget!$Q$5,Budget!$P$5,0)</f>
        <v>0</v>
      </c>
      <c r="W347" s="17">
        <f>N("HBO Max")-IF(DAY(A347)=Budget!$Q$6,Budget!$P$6,0)</f>
        <v>0</v>
      </c>
      <c r="X347" s="17">
        <f>N("Netflix")-IF(DAY(A347)=Budget!$Q$7,Budget!$P$7,0)</f>
        <v>0</v>
      </c>
      <c r="Y347" s="17">
        <f>N("Spotify")-IF(DAY(A347)=Budget!$Q$8,Budget!$P$8,0)</f>
        <v>0</v>
      </c>
      <c r="Z347" s="17">
        <f>N("Truebill")-IF(DAY(A347)=Budget!$Q$9,Budget!$P$9,0)</f>
        <v>0</v>
      </c>
      <c r="AA347" s="6">
        <f t="shared" si="40"/>
        <v>-803.35</v>
      </c>
    </row>
    <row r="348" spans="1:30" x14ac:dyDescent="0.3">
      <c r="A348" s="4">
        <f t="shared" ref="A348:A375" si="42">A347+1</f>
        <v>45964</v>
      </c>
      <c r="B348" s="2">
        <f t="shared" si="41"/>
        <v>2968.47</v>
      </c>
      <c r="C348" s="7">
        <f t="shared" ref="C348:C373" si="43">IF(B348&gt;B347,2,IF(B348=B347, 1,0))</f>
        <v>1</v>
      </c>
      <c r="D348" s="1">
        <v>0</v>
      </c>
      <c r="E348" s="17">
        <f>N("PAY-LM")+IF(WEEKDAY(A348)=Budget!$C$3,Budget!$B$3,0)</f>
        <v>0</v>
      </c>
      <c r="F348" s="17">
        <f>N("Rent")-IF(DAY(A348)=Budget!$G$3,Budget!$F$3,0)</f>
        <v>0</v>
      </c>
      <c r="G348" s="17">
        <f>N("Car")-IF(DAY(A348)=Budget!$G$4,Budget!$F$4+Budget!$H$4,0)</f>
        <v>0</v>
      </c>
      <c r="H348" s="17">
        <f>N("Mom Rent")-IF(DAY(A348)=Budget!$G$5,Budget!$F$5,0)</f>
        <v>0</v>
      </c>
      <c r="I348" s="17">
        <f>N("AT&amp;T")-IF(DAY(A348)=Budget!$G$8,Budget!$F$8,0)</f>
        <v>0</v>
      </c>
      <c r="J348" s="17">
        <f>N("GA Power")-IF(DAY(A348)=Budget!$G$9,Budget!$F$9,0)</f>
        <v>0</v>
      </c>
      <c r="K348" s="17">
        <f>N("Haircut")-IF(DAY(A348)=Budget!$G$10,Budget!$F$10,0)</f>
        <v>0</v>
      </c>
      <c r="L348" s="17">
        <f>N("Groceries")-IF(DAY(A348)=Budget!$G$6,Budget!$F$6,0)</f>
        <v>0</v>
      </c>
      <c r="M348" s="17">
        <f>N("Savings")-IF(DAY(A348)=Budget!$G$7,Budget!$F$7,0)</f>
        <v>0</v>
      </c>
      <c r="N348" s="17">
        <f>N("Car Insurance")-COUNTIF(Budget!$G$14, A348)*Budget!$F$14</f>
        <v>0</v>
      </c>
      <c r="O348" s="17">
        <f>N("Phone Bill")-COUNTIF(Budget!$G$15, A348)*Budget!$F$15</f>
        <v>0</v>
      </c>
      <c r="Q348" s="17">
        <f>N("Spotify")-IF(AND(DAY($A348)=Budget!$M$3, MONTH($A348)=Budget!$L$3),Budget!$K$3,0)</f>
        <v>0</v>
      </c>
      <c r="R348" s="17">
        <f>N("Spotify")-IF(AND(DAY($A348)=Budget!$M$4, MONTH($A348)=Budget!$L$4),Budget!$K$4,0)</f>
        <v>0</v>
      </c>
      <c r="S348" s="17">
        <f>N("Spotify")-IF(AND(DAY($A348)=Budget!$M$5, MONTH($A348)=Budget!$L$5),Budget!$K$5,0)</f>
        <v>0</v>
      </c>
      <c r="T348" s="17">
        <f>N("Amazon Prime")-IF(DAY(A348)=Budget!$Q$3,Budget!$P$3,0)</f>
        <v>0</v>
      </c>
      <c r="U348" s="17">
        <f>N("Audible")-IF(DAY(A348)=Budget!$Q$12,Budget!$P$12,0)</f>
        <v>0</v>
      </c>
      <c r="V348" s="17">
        <f>N("Crunchyroll")-IF(DAY(A348)=Budget!$Q$5,Budget!$P$5,0)</f>
        <v>0</v>
      </c>
      <c r="W348" s="17">
        <f>N("HBO Max")-IF(DAY(A348)=Budget!$Q$6,Budget!$P$6,0)</f>
        <v>0</v>
      </c>
      <c r="X348" s="17">
        <f>N("Netflix")-IF(DAY(A348)=Budget!$Q$7,Budget!$P$7,0)</f>
        <v>0</v>
      </c>
      <c r="Y348" s="17">
        <f>N("Spotify")-IF(DAY(A348)=Budget!$Q$8,Budget!$P$8,0)</f>
        <v>0</v>
      </c>
      <c r="Z348" s="17">
        <f>N("Truebill")-IF(DAY(A348)=Budget!$Q$9,Budget!$P$9,0)</f>
        <v>0</v>
      </c>
      <c r="AA348" s="6">
        <f t="shared" si="40"/>
        <v>0</v>
      </c>
    </row>
    <row r="349" spans="1:30" x14ac:dyDescent="0.3">
      <c r="A349" s="4">
        <f t="shared" si="42"/>
        <v>45965</v>
      </c>
      <c r="B349" s="2">
        <f t="shared" si="41"/>
        <v>2968.47</v>
      </c>
      <c r="C349" s="7">
        <f t="shared" si="43"/>
        <v>1</v>
      </c>
      <c r="D349" s="1">
        <v>0</v>
      </c>
      <c r="E349" s="17">
        <f>N("PAY-LM")+IF(WEEKDAY(A349)=Budget!$C$3,Budget!$B$3,0)</f>
        <v>0</v>
      </c>
      <c r="F349" s="17">
        <f>N("Rent")-IF(DAY(A349)=Budget!$G$3,Budget!$F$3,0)</f>
        <v>0</v>
      </c>
      <c r="G349" s="17">
        <f>N("Car")-IF(DAY(A349)=Budget!$G$4,Budget!$F$4+Budget!$H$4,0)</f>
        <v>0</v>
      </c>
      <c r="H349" s="17">
        <f>N("Mom Rent")-IF(DAY(A349)=Budget!$G$5,Budget!$F$5,0)</f>
        <v>0</v>
      </c>
      <c r="I349" s="17">
        <f>N("AT&amp;T")-IF(DAY(A349)=Budget!$G$8,Budget!$F$8,0)</f>
        <v>0</v>
      </c>
      <c r="J349" s="17">
        <f>N("GA Power")-IF(DAY(A349)=Budget!$G$9,Budget!$F$9,0)</f>
        <v>0</v>
      </c>
      <c r="K349" s="17">
        <f>N("Haircut")-IF(DAY(A349)=Budget!$G$10,Budget!$F$10,0)</f>
        <v>0</v>
      </c>
      <c r="L349" s="17">
        <f>N("Groceries")-IF(DAY(A349)=Budget!$G$6,Budget!$F$6,0)</f>
        <v>0</v>
      </c>
      <c r="M349" s="17">
        <f>N("Savings")-IF(DAY(A349)=Budget!$G$7,Budget!$F$7,0)</f>
        <v>0</v>
      </c>
      <c r="N349" s="17">
        <f>N("Car Insurance")-COUNTIF(Budget!$G$14, A349)*Budget!$F$14</f>
        <v>0</v>
      </c>
      <c r="O349" s="17">
        <f>N("Phone Bill")-COUNTIF(Budget!$G$15, A349)*Budget!$F$15</f>
        <v>0</v>
      </c>
      <c r="Q349" s="17">
        <f>N("Spotify")-IF(AND(DAY($A349)=Budget!$M$3, MONTH($A349)=Budget!$L$3),Budget!$K$3,0)</f>
        <v>0</v>
      </c>
      <c r="R349" s="17">
        <f>N("Spotify")-IF(AND(DAY($A349)=Budget!$M$4, MONTH($A349)=Budget!$L$4),Budget!$K$4,0)</f>
        <v>0</v>
      </c>
      <c r="S349" s="17">
        <f>N("Spotify")-IF(AND(DAY($A349)=Budget!$M$5, MONTH($A349)=Budget!$L$5),Budget!$K$5,0)</f>
        <v>0</v>
      </c>
      <c r="T349" s="17">
        <f>N("Amazon Prime")-IF(DAY(A349)=Budget!$Q$3,Budget!$P$3,0)</f>
        <v>0</v>
      </c>
      <c r="U349" s="17">
        <f>N("Audible")-IF(DAY(A349)=Budget!$Q$12,Budget!$P$12,0)</f>
        <v>0</v>
      </c>
      <c r="V349" s="17">
        <f>N("Crunchyroll")-IF(DAY(A349)=Budget!$Q$5,Budget!$P$5,0)</f>
        <v>0</v>
      </c>
      <c r="W349" s="17">
        <f>N("HBO Max")-IF(DAY(A349)=Budget!$Q$6,Budget!$P$6,0)</f>
        <v>0</v>
      </c>
      <c r="X349" s="17">
        <f>N("Netflix")-IF(DAY(A349)=Budget!$Q$7,Budget!$P$7,0)</f>
        <v>0</v>
      </c>
      <c r="Y349" s="17">
        <f>N("Spotify")-IF(DAY(A349)=Budget!$Q$8,Budget!$P$8,0)</f>
        <v>0</v>
      </c>
      <c r="Z349" s="17">
        <f>N("Truebill")-IF(DAY(A349)=Budget!$Q$9,Budget!$P$9,0)</f>
        <v>0</v>
      </c>
      <c r="AA349" s="6">
        <f t="shared" si="40"/>
        <v>0</v>
      </c>
    </row>
    <row r="350" spans="1:30" x14ac:dyDescent="0.3">
      <c r="A350" s="4">
        <f t="shared" si="42"/>
        <v>45966</v>
      </c>
      <c r="B350" s="2">
        <f t="shared" si="41"/>
        <v>2898.47</v>
      </c>
      <c r="C350" s="7">
        <f t="shared" si="43"/>
        <v>0</v>
      </c>
      <c r="D350" s="1">
        <v>0</v>
      </c>
      <c r="E350" s="17">
        <f>N("PAY-LM")+IF(WEEKDAY(A350)=Budget!$C$3,Budget!$B$3,0)</f>
        <v>0</v>
      </c>
      <c r="F350" s="17">
        <f>N("Rent")-IF(DAY(A350)=Budget!$G$3,Budget!$F$3,0)</f>
        <v>0</v>
      </c>
      <c r="G350" s="17">
        <f>N("Car")-IF(DAY(A350)=Budget!$G$4,Budget!$F$4+Budget!$H$4,0)</f>
        <v>0</v>
      </c>
      <c r="H350" s="17">
        <f>N("Mom Rent")-IF(DAY(A350)=Budget!$G$5,Budget!$F$5,0)</f>
        <v>0</v>
      </c>
      <c r="I350" s="17">
        <f>N("AT&amp;T")-IF(DAY(A350)=Budget!$G$8,Budget!$F$8,0)</f>
        <v>0</v>
      </c>
      <c r="J350" s="17">
        <f>N("GA Power")-IF(DAY(A350)=Budget!$G$9,Budget!$F$9,0)</f>
        <v>-70</v>
      </c>
      <c r="K350" s="17">
        <f>N("Haircut")-IF(DAY(A350)=Budget!$G$10,Budget!$F$10,0)</f>
        <v>0</v>
      </c>
      <c r="L350" s="17">
        <f>N("Groceries")-IF(DAY(A350)=Budget!$G$6,Budget!$F$6,0)</f>
        <v>0</v>
      </c>
      <c r="M350" s="17">
        <f>N("Savings")-IF(DAY(A350)=Budget!$G$7,Budget!$F$7,0)</f>
        <v>0</v>
      </c>
      <c r="N350" s="17">
        <f>N("Car Insurance")-COUNTIF(Budget!$G$14, A350)*Budget!$F$14</f>
        <v>0</v>
      </c>
      <c r="O350" s="17">
        <f>N("Phone Bill")-COUNTIF(Budget!$G$15, A350)*Budget!$F$15</f>
        <v>0</v>
      </c>
      <c r="Q350" s="17">
        <f>N("Spotify")-IF(AND(DAY($A350)=Budget!$M$3, MONTH($A350)=Budget!$L$3),Budget!$K$3,0)</f>
        <v>0</v>
      </c>
      <c r="R350" s="17">
        <f>N("Spotify")-IF(AND(DAY($A350)=Budget!$M$4, MONTH($A350)=Budget!$L$4),Budget!$K$4,0)</f>
        <v>0</v>
      </c>
      <c r="S350" s="17">
        <f>N("Spotify")-IF(AND(DAY($A350)=Budget!$M$5, MONTH($A350)=Budget!$L$5),Budget!$K$5,0)</f>
        <v>0</v>
      </c>
      <c r="T350" s="17">
        <f>N("Amazon Prime")-IF(DAY(A350)=Budget!$Q$3,Budget!$P$3,0)</f>
        <v>0</v>
      </c>
      <c r="U350" s="17">
        <f>N("Audible")-IF(DAY(A350)=Budget!$Q$12,Budget!$P$12,0)</f>
        <v>0</v>
      </c>
      <c r="V350" s="17">
        <f>N("Crunchyroll")-IF(DAY(A350)=Budget!$Q$5,Budget!$P$5,0)</f>
        <v>0</v>
      </c>
      <c r="W350" s="17">
        <f>N("HBO Max")-IF(DAY(A350)=Budget!$Q$6,Budget!$P$6,0)</f>
        <v>0</v>
      </c>
      <c r="X350" s="17">
        <f>N("Netflix")-IF(DAY(A350)=Budget!$Q$7,Budget!$P$7,0)</f>
        <v>0</v>
      </c>
      <c r="Y350" s="17">
        <f>N("Spotify")-IF(DAY(A350)=Budget!$Q$8,Budget!$P$8,0)</f>
        <v>0</v>
      </c>
      <c r="Z350" s="17">
        <f>N("Truebill")-IF(DAY(A350)=Budget!$Q$9,Budget!$P$9,0)</f>
        <v>0</v>
      </c>
      <c r="AA350" s="6">
        <f t="shared" si="40"/>
        <v>-70</v>
      </c>
    </row>
    <row r="351" spans="1:30" x14ac:dyDescent="0.3">
      <c r="A351" s="4">
        <f t="shared" si="42"/>
        <v>45967</v>
      </c>
      <c r="B351" s="2">
        <f t="shared" si="41"/>
        <v>2898.47</v>
      </c>
      <c r="C351" s="7">
        <f t="shared" si="43"/>
        <v>1</v>
      </c>
      <c r="D351" s="1">
        <v>0</v>
      </c>
      <c r="E351" s="17">
        <f>N("PAY-LM")+IF(WEEKDAY(A351)=Budget!$C$3,Budget!$B$3,0)</f>
        <v>0</v>
      </c>
      <c r="F351" s="17">
        <f>N("Rent")-IF(DAY(A351)=Budget!$G$3,Budget!$F$3,0)</f>
        <v>0</v>
      </c>
      <c r="G351" s="17">
        <f>N("Car")-IF(DAY(A351)=Budget!$G$4,Budget!$F$4+Budget!$H$4,0)</f>
        <v>0</v>
      </c>
      <c r="H351" s="17">
        <f>N("Mom Rent")-IF(DAY(A351)=Budget!$G$5,Budget!$F$5,0)</f>
        <v>0</v>
      </c>
      <c r="I351" s="17">
        <f>N("AT&amp;T")-IF(DAY(A351)=Budget!$G$8,Budget!$F$8,0)</f>
        <v>0</v>
      </c>
      <c r="J351" s="17">
        <f>N("GA Power")-IF(DAY(A351)=Budget!$G$9,Budget!$F$9,0)</f>
        <v>0</v>
      </c>
      <c r="K351" s="17">
        <f>N("Haircut")-IF(DAY(A351)=Budget!$G$10,Budget!$F$10,0)</f>
        <v>0</v>
      </c>
      <c r="L351" s="17">
        <f>N("Groceries")-IF(DAY(A351)=Budget!$G$6,Budget!$F$6,0)</f>
        <v>0</v>
      </c>
      <c r="M351" s="17">
        <f>N("Savings")-IF(DAY(A351)=Budget!$G$7,Budget!$F$7,0)</f>
        <v>0</v>
      </c>
      <c r="N351" s="17">
        <f>N("Car Insurance")-COUNTIF(Budget!$G$14, A351)*Budget!$F$14</f>
        <v>0</v>
      </c>
      <c r="O351" s="17">
        <f>N("Phone Bill")-COUNTIF(Budget!$G$15, A351)*Budget!$F$15</f>
        <v>0</v>
      </c>
      <c r="Q351" s="17">
        <f>N("Spotify")-IF(AND(DAY($A351)=Budget!$M$3, MONTH($A351)=Budget!$L$3),Budget!$K$3,0)</f>
        <v>0</v>
      </c>
      <c r="R351" s="17">
        <f>N("Spotify")-IF(AND(DAY($A351)=Budget!$M$4, MONTH($A351)=Budget!$L$4),Budget!$K$4,0)</f>
        <v>0</v>
      </c>
      <c r="S351" s="17">
        <f>N("Spotify")-IF(AND(DAY($A351)=Budget!$M$5, MONTH($A351)=Budget!$L$5),Budget!$K$5,0)</f>
        <v>0</v>
      </c>
      <c r="T351" s="17">
        <f>N("Amazon Prime")-IF(DAY(A351)=Budget!$Q$3,Budget!$P$3,0)</f>
        <v>0</v>
      </c>
      <c r="U351" s="17">
        <f>N("Audible")-IF(DAY(A351)=Budget!$Q$12,Budget!$P$12,0)</f>
        <v>0</v>
      </c>
      <c r="V351" s="17">
        <f>N("Crunchyroll")-IF(DAY(A351)=Budget!$Q$5,Budget!$P$5,0)</f>
        <v>0</v>
      </c>
      <c r="W351" s="17">
        <f>N("HBO Max")-IF(DAY(A351)=Budget!$Q$6,Budget!$P$6,0)</f>
        <v>0</v>
      </c>
      <c r="X351" s="17">
        <f>N("Netflix")-IF(DAY(A351)=Budget!$Q$7,Budget!$P$7,0)</f>
        <v>0</v>
      </c>
      <c r="Y351" s="17">
        <f>N("Spotify")-IF(DAY(A351)=Budget!$Q$8,Budget!$P$8,0)</f>
        <v>0</v>
      </c>
      <c r="Z351" s="17">
        <f>N("Truebill")-IF(DAY(A351)=Budget!$Q$9,Budget!$P$9,0)</f>
        <v>0</v>
      </c>
      <c r="AA351" s="6">
        <f t="shared" si="40"/>
        <v>0</v>
      </c>
    </row>
    <row r="352" spans="1:30" x14ac:dyDescent="0.3">
      <c r="A352" s="4">
        <f t="shared" si="42"/>
        <v>45968</v>
      </c>
      <c r="B352" s="2">
        <f>2927.94</f>
        <v>2927.94</v>
      </c>
      <c r="C352" s="7">
        <f t="shared" si="43"/>
        <v>2</v>
      </c>
      <c r="D352" s="1">
        <v>0</v>
      </c>
      <c r="E352" s="17">
        <f>N("PAY-LM")+IF(WEEKDAY(A352)=Budget!$C$3,Budget!$B$3,0)</f>
        <v>1453</v>
      </c>
      <c r="F352" s="17">
        <f>N("Rent")-IF(DAY(A352)=Budget!$G$3,Budget!$F$3,0)</f>
        <v>0</v>
      </c>
      <c r="G352" s="17">
        <f>N("Car")-IF(DAY(A352)=Budget!$G$4,Budget!$F$4+Budget!$H$4,0)</f>
        <v>0</v>
      </c>
      <c r="H352" s="17">
        <f>N("Mom Rent")-IF(DAY(A352)=Budget!$G$5,Budget!$F$5,0)</f>
        <v>0</v>
      </c>
      <c r="I352" s="17">
        <f>N("AT&amp;T")-IF(DAY(A352)=Budget!$G$8,Budget!$F$8,0)</f>
        <v>0</v>
      </c>
      <c r="J352" s="17">
        <f>N("GA Power")-IF(DAY(A352)=Budget!$G$9,Budget!$F$9,0)</f>
        <v>0</v>
      </c>
      <c r="K352" s="17">
        <f>N("Haircut")-IF(DAY(A352)=Budget!$G$10,Budget!$F$10,0)</f>
        <v>0</v>
      </c>
      <c r="L352" s="17">
        <f>N("Groceries")-IF(DAY(A352)=Budget!$G$6,Budget!$F$6,0)</f>
        <v>0</v>
      </c>
      <c r="M352" s="17">
        <f>N("Savings")-IF(DAY(A352)=Budget!$G$7,Budget!$F$7,0)</f>
        <v>0</v>
      </c>
      <c r="N352" s="17">
        <f>N("Car Insurance")-COUNTIF(Budget!$G$14, A352)*Budget!$F$14</f>
        <v>0</v>
      </c>
      <c r="O352" s="17">
        <f>N("Phone Bill")-COUNTIF(Budget!$G$15, A352)*Budget!$F$15</f>
        <v>0</v>
      </c>
      <c r="Q352" s="17">
        <f>N("Spotify")-IF(AND(DAY($A352)=Budget!$M$3, MONTH($A352)=Budget!$L$3),Budget!$K$3,0)</f>
        <v>0</v>
      </c>
      <c r="R352" s="17">
        <f>N("Spotify")-IF(AND(DAY($A352)=Budget!$M$4, MONTH($A352)=Budget!$L$4),Budget!$K$4,0)</f>
        <v>0</v>
      </c>
      <c r="S352" s="17">
        <f>N("Spotify")-IF(AND(DAY($A352)=Budget!$M$5, MONTH($A352)=Budget!$L$5),Budget!$K$5,0)</f>
        <v>0</v>
      </c>
      <c r="T352" s="17">
        <f>N("Amazon Prime")-IF(DAY(A352)=Budget!$Q$3,Budget!$P$3,0)</f>
        <v>0</v>
      </c>
      <c r="U352" s="17">
        <f>N("Audible")-IF(DAY(A352)=Budget!$Q$12,Budget!$P$12,0)</f>
        <v>0</v>
      </c>
      <c r="V352" s="17">
        <f>N("Crunchyroll")-IF(DAY(A352)=Budget!$Q$5,Budget!$P$5,0)</f>
        <v>0</v>
      </c>
      <c r="W352" s="17">
        <f>N("HBO Max")-IF(DAY(A352)=Budget!$Q$6,Budget!$P$6,0)</f>
        <v>0</v>
      </c>
      <c r="X352" s="17">
        <f>N("Netflix")-IF(DAY(A352)=Budget!$Q$7,Budget!$P$7,0)</f>
        <v>0</v>
      </c>
      <c r="Y352" s="17">
        <f>N("Spotify")-IF(DAY(A352)=Budget!$Q$8,Budget!$P$8,0)</f>
        <v>0</v>
      </c>
      <c r="Z352" s="17">
        <f>N("Truebill")-IF(DAY(A352)=Budget!$Q$9,Budget!$P$9,0)</f>
        <v>0</v>
      </c>
      <c r="AA352" s="6">
        <f t="shared" si="40"/>
        <v>1453</v>
      </c>
    </row>
    <row r="353" spans="1:27" x14ac:dyDescent="0.3">
      <c r="A353" s="4">
        <f t="shared" si="42"/>
        <v>45969</v>
      </c>
      <c r="B353" s="2">
        <f t="shared" si="41"/>
        <v>2908.4700000000003</v>
      </c>
      <c r="C353" s="7">
        <f t="shared" si="43"/>
        <v>0</v>
      </c>
      <c r="D353" s="1">
        <v>0</v>
      </c>
      <c r="E353" s="17">
        <f>N("PAY-LM")+IF(WEEKDAY(A353)=Budget!$C$3,Budget!$B$3,0)</f>
        <v>0</v>
      </c>
      <c r="F353" s="17">
        <f>N("Rent")-IF(DAY(A353)=Budget!$G$3,Budget!$F$3,0)</f>
        <v>0</v>
      </c>
      <c r="G353" s="17">
        <f>N("Car")-IF(DAY(A353)=Budget!$G$4,Budget!$F$4+Budget!$H$4,0)</f>
        <v>0</v>
      </c>
      <c r="H353" s="17">
        <f>N("Mom Rent")-IF(DAY(A353)=Budget!$G$5,Budget!$F$5,0)</f>
        <v>0</v>
      </c>
      <c r="I353" s="17">
        <f>N("AT&amp;T")-IF(DAY(A353)=Budget!$G$8,Budget!$F$8,0)</f>
        <v>0</v>
      </c>
      <c r="J353" s="17">
        <f>N("GA Power")-IF(DAY(A353)=Budget!$G$9,Budget!$F$9,0)</f>
        <v>0</v>
      </c>
      <c r="K353" s="17">
        <f>N("Haircut")-IF(DAY(A353)=Budget!$G$10,Budget!$F$10,0)</f>
        <v>0</v>
      </c>
      <c r="L353" s="17">
        <f>N("Groceries")-IF(DAY(A353)=Budget!$G$6,Budget!$F$6,0)</f>
        <v>0</v>
      </c>
      <c r="M353" s="17">
        <f>N("Savings")-IF(DAY(A353)=Budget!$G$7,Budget!$F$7,0)</f>
        <v>0</v>
      </c>
      <c r="N353" s="17">
        <f>N("Car Insurance")-COUNTIF(Budget!$G$14, A353)*Budget!$F$14</f>
        <v>0</v>
      </c>
      <c r="O353" s="17">
        <f>N("Phone Bill")-COUNTIF(Budget!$G$15, A353)*Budget!$F$15</f>
        <v>0</v>
      </c>
      <c r="Q353" s="17">
        <f>N("Spotify")-IF(AND(DAY($A353)=Budget!$M$3, MONTH($A353)=Budget!$L$3),Budget!$K$3,0)</f>
        <v>0</v>
      </c>
      <c r="R353" s="17">
        <f>N("Spotify")-IF(AND(DAY($A353)=Budget!$M$4, MONTH($A353)=Budget!$L$4),Budget!$K$4,0)</f>
        <v>0</v>
      </c>
      <c r="S353" s="17">
        <f>N("Spotify")-IF(AND(DAY($A353)=Budget!$M$5, MONTH($A353)=Budget!$L$5),Budget!$K$5,0)</f>
        <v>0</v>
      </c>
      <c r="T353" s="17">
        <f>N("Amazon Prime")-IF(DAY(A353)=Budget!$Q$3,Budget!$P$3,0)</f>
        <v>-7.48</v>
      </c>
      <c r="U353" s="17">
        <f>N("Audible")-IF(DAY(A353)=Budget!$Q$12,Budget!$P$12,0)</f>
        <v>0</v>
      </c>
      <c r="V353" s="17">
        <f>N("Crunchyroll")-IF(DAY(A353)=Budget!$Q$5,Budget!$P$5,0)</f>
        <v>0</v>
      </c>
      <c r="W353" s="17">
        <f>N("HBO Max")-IF(DAY(A353)=Budget!$Q$6,Budget!$P$6,0)</f>
        <v>-11.99</v>
      </c>
      <c r="X353" s="17">
        <f>N("Netflix")-IF(DAY(A353)=Budget!$Q$7,Budget!$P$7,0)</f>
        <v>0</v>
      </c>
      <c r="Y353" s="17">
        <f>N("Spotify")-IF(DAY(A353)=Budget!$Q$8,Budget!$P$8,0)</f>
        <v>0</v>
      </c>
      <c r="Z353" s="17">
        <f>N("Truebill")-IF(DAY(A353)=Budget!$Q$9,Budget!$P$9,0)</f>
        <v>0</v>
      </c>
      <c r="AA353" s="6">
        <f t="shared" si="40"/>
        <v>-19.47</v>
      </c>
    </row>
    <row r="354" spans="1:27" x14ac:dyDescent="0.3">
      <c r="A354" s="4">
        <f t="shared" si="42"/>
        <v>45970</v>
      </c>
      <c r="B354" s="2">
        <f t="shared" si="41"/>
        <v>2908.4700000000003</v>
      </c>
      <c r="C354" s="7">
        <f t="shared" si="43"/>
        <v>1</v>
      </c>
      <c r="D354" s="1">
        <v>0</v>
      </c>
      <c r="E354" s="17">
        <f>N("PAY-LM")+IF(WEEKDAY(A354)=Budget!$C$3,Budget!$B$3,0)</f>
        <v>0</v>
      </c>
      <c r="F354" s="17">
        <f>N("Rent")-IF(DAY(A354)=Budget!$G$3,Budget!$F$3,0)</f>
        <v>0</v>
      </c>
      <c r="G354" s="17">
        <f>N("Car")-IF(DAY(A354)=Budget!$G$4,Budget!$F$4+Budget!$H$4,0)</f>
        <v>0</v>
      </c>
      <c r="H354" s="17">
        <f>N("Mom Rent")-IF(DAY(A354)=Budget!$G$5,Budget!$F$5,0)</f>
        <v>0</v>
      </c>
      <c r="I354" s="17">
        <f>N("AT&amp;T")-IF(DAY(A354)=Budget!$G$8,Budget!$F$8,0)</f>
        <v>0</v>
      </c>
      <c r="J354" s="17">
        <f>N("GA Power")-IF(DAY(A354)=Budget!$G$9,Budget!$F$9,0)</f>
        <v>0</v>
      </c>
      <c r="K354" s="17">
        <f>N("Haircut")-IF(DAY(A354)=Budget!$G$10,Budget!$F$10,0)</f>
        <v>0</v>
      </c>
      <c r="L354" s="17">
        <f>N("Groceries")-IF(DAY(A354)=Budget!$G$6,Budget!$F$6,0)</f>
        <v>0</v>
      </c>
      <c r="M354" s="17">
        <f>N("Savings")-IF(DAY(A354)=Budget!$G$7,Budget!$F$7,0)</f>
        <v>0</v>
      </c>
      <c r="N354" s="17">
        <f>N("Car Insurance")-COUNTIF(Budget!$G$14, A354)*Budget!$F$14</f>
        <v>0</v>
      </c>
      <c r="O354" s="17">
        <f>N("Phone Bill")-COUNTIF(Budget!$G$15, A354)*Budget!$F$15</f>
        <v>0</v>
      </c>
      <c r="Q354" s="17">
        <f>N("Spotify")-IF(AND(DAY($A354)=Budget!$M$3, MONTH($A354)=Budget!$L$3),Budget!$K$3,0)</f>
        <v>0</v>
      </c>
      <c r="R354" s="17">
        <f>N("Spotify")-IF(AND(DAY($A354)=Budget!$M$4, MONTH($A354)=Budget!$L$4),Budget!$K$4,0)</f>
        <v>0</v>
      </c>
      <c r="S354" s="17">
        <f>N("Spotify")-IF(AND(DAY($A354)=Budget!$M$5, MONTH($A354)=Budget!$L$5),Budget!$K$5,0)</f>
        <v>0</v>
      </c>
      <c r="T354" s="17">
        <f>N("Amazon Prime")-IF(DAY(A354)=Budget!$Q$3,Budget!$P$3,0)</f>
        <v>0</v>
      </c>
      <c r="U354" s="17">
        <f>N("Audible")-IF(DAY(A354)=Budget!$Q$12,Budget!$P$12,0)</f>
        <v>0</v>
      </c>
      <c r="V354" s="17">
        <f>N("Crunchyroll")-IF(DAY(A354)=Budget!$Q$5,Budget!$P$5,0)</f>
        <v>0</v>
      </c>
      <c r="W354" s="17">
        <f>N("HBO Max")-IF(DAY(A354)=Budget!$Q$6,Budget!$P$6,0)</f>
        <v>0</v>
      </c>
      <c r="X354" s="17">
        <f>N("Netflix")-IF(DAY(A354)=Budget!$Q$7,Budget!$P$7,0)</f>
        <v>0</v>
      </c>
      <c r="Y354" s="17">
        <f>N("Spotify")-IF(DAY(A354)=Budget!$Q$8,Budget!$P$8,0)</f>
        <v>0</v>
      </c>
      <c r="Z354" s="17">
        <f>N("Truebill")-IF(DAY(A354)=Budget!$Q$9,Budget!$P$9,0)</f>
        <v>0</v>
      </c>
      <c r="AA354" s="6">
        <f t="shared" si="40"/>
        <v>0</v>
      </c>
    </row>
    <row r="355" spans="1:27" x14ac:dyDescent="0.3">
      <c r="A355" s="4">
        <f t="shared" si="42"/>
        <v>45971</v>
      </c>
      <c r="B355" s="2">
        <f t="shared" si="41"/>
        <v>2908.4700000000003</v>
      </c>
      <c r="C355" s="7">
        <f t="shared" si="43"/>
        <v>1</v>
      </c>
      <c r="D355" s="1">
        <v>0</v>
      </c>
      <c r="E355" s="17">
        <f>N("PAY-LM")+IF(WEEKDAY(A355)=Budget!$C$3,Budget!$B$3,0)</f>
        <v>0</v>
      </c>
      <c r="F355" s="17">
        <f>N("Rent")-IF(DAY(A355)=Budget!$G$3,Budget!$F$3,0)</f>
        <v>0</v>
      </c>
      <c r="G355" s="17">
        <f>N("Car")-IF(DAY(A355)=Budget!$G$4,Budget!$F$4+Budget!$H$4,0)</f>
        <v>0</v>
      </c>
      <c r="H355" s="17">
        <f>N("Mom Rent")-IF(DAY(A355)=Budget!$G$5,Budget!$F$5,0)</f>
        <v>0</v>
      </c>
      <c r="I355" s="17">
        <f>N("AT&amp;T")-IF(DAY(A355)=Budget!$G$8,Budget!$F$8,0)</f>
        <v>0</v>
      </c>
      <c r="J355" s="17">
        <f>N("GA Power")-IF(DAY(A355)=Budget!$G$9,Budget!$F$9,0)</f>
        <v>0</v>
      </c>
      <c r="K355" s="17">
        <f>N("Haircut")-IF(DAY(A355)=Budget!$G$10,Budget!$F$10,0)</f>
        <v>0</v>
      </c>
      <c r="L355" s="17">
        <f>N("Groceries")-IF(DAY(A355)=Budget!$G$6,Budget!$F$6,0)</f>
        <v>0</v>
      </c>
      <c r="M355" s="17">
        <f>N("Savings")-IF(DAY(A355)=Budget!$G$7,Budget!$F$7,0)</f>
        <v>0</v>
      </c>
      <c r="N355" s="17">
        <f>N("Car Insurance")-COUNTIF(Budget!$G$14, A355)*Budget!$F$14</f>
        <v>0</v>
      </c>
      <c r="O355" s="17">
        <f>N("Phone Bill")-COUNTIF(Budget!$G$15, A355)*Budget!$F$15</f>
        <v>0</v>
      </c>
      <c r="Q355" s="17">
        <f>N("Spotify")-IF(AND(DAY($A355)=Budget!$M$3, MONTH($A355)=Budget!$L$3),Budget!$K$3,0)</f>
        <v>0</v>
      </c>
      <c r="R355" s="17">
        <f>N("Spotify")-IF(AND(DAY($A355)=Budget!$M$4, MONTH($A355)=Budget!$L$4),Budget!$K$4,0)</f>
        <v>0</v>
      </c>
      <c r="S355" s="17">
        <f>N("Spotify")-IF(AND(DAY($A355)=Budget!$M$5, MONTH($A355)=Budget!$L$5),Budget!$K$5,0)</f>
        <v>0</v>
      </c>
      <c r="T355" s="17">
        <f>N("Amazon Prime")-IF(DAY(A355)=Budget!$Q$3,Budget!$P$3,0)</f>
        <v>0</v>
      </c>
      <c r="U355" s="17">
        <f>N("Audible")-IF(DAY(A355)=Budget!$Q$12,Budget!$P$12,0)</f>
        <v>0</v>
      </c>
      <c r="V355" s="17">
        <f>N("Crunchyroll")-IF(DAY(A355)=Budget!$Q$5,Budget!$P$5,0)</f>
        <v>0</v>
      </c>
      <c r="W355" s="17">
        <f>N("HBO Max")-IF(DAY(A355)=Budget!$Q$6,Budget!$P$6,0)</f>
        <v>0</v>
      </c>
      <c r="X355" s="17">
        <f>N("Netflix")-IF(DAY(A355)=Budget!$Q$7,Budget!$P$7,0)</f>
        <v>0</v>
      </c>
      <c r="Y355" s="17">
        <f>N("Spotify")-IF(DAY(A355)=Budget!$Q$8,Budget!$P$8,0)</f>
        <v>0</v>
      </c>
      <c r="Z355" s="17">
        <f>N("Truebill")-IF(DAY(A355)=Budget!$Q$9,Budget!$P$9,0)</f>
        <v>0</v>
      </c>
      <c r="AA355" s="6">
        <f t="shared" si="40"/>
        <v>0</v>
      </c>
    </row>
    <row r="356" spans="1:27" x14ac:dyDescent="0.3">
      <c r="A356" s="4">
        <f t="shared" si="42"/>
        <v>45972</v>
      </c>
      <c r="B356" s="2">
        <f t="shared" si="41"/>
        <v>2908.4700000000003</v>
      </c>
      <c r="C356" s="7">
        <f t="shared" si="43"/>
        <v>1</v>
      </c>
      <c r="D356" s="1">
        <v>0</v>
      </c>
      <c r="E356" s="17">
        <f>N("PAY-LM")+IF(WEEKDAY(A356)=Budget!$C$3,Budget!$B$3,0)</f>
        <v>0</v>
      </c>
      <c r="F356" s="17">
        <f>N("Rent")-IF(DAY(A356)=Budget!$G$3,Budget!$F$3,0)</f>
        <v>0</v>
      </c>
      <c r="G356" s="17">
        <f>N("Car")-IF(DAY(A356)=Budget!$G$4,Budget!$F$4+Budget!$H$4,0)</f>
        <v>0</v>
      </c>
      <c r="H356" s="17">
        <f>N("Mom Rent")-IF(DAY(A356)=Budget!$G$5,Budget!$F$5,0)</f>
        <v>0</v>
      </c>
      <c r="I356" s="17">
        <f>N("AT&amp;T")-IF(DAY(A356)=Budget!$G$8,Budget!$F$8,0)</f>
        <v>0</v>
      </c>
      <c r="J356" s="17">
        <f>N("GA Power")-IF(DAY(A356)=Budget!$G$9,Budget!$F$9,0)</f>
        <v>0</v>
      </c>
      <c r="K356" s="17">
        <f>N("Haircut")-IF(DAY(A356)=Budget!$G$10,Budget!$F$10,0)</f>
        <v>0</v>
      </c>
      <c r="L356" s="17">
        <f>N("Groceries")-IF(DAY(A356)=Budget!$G$6,Budget!$F$6,0)</f>
        <v>0</v>
      </c>
      <c r="M356" s="17">
        <f>N("Savings")-IF(DAY(A356)=Budget!$G$7,Budget!$F$7,0)</f>
        <v>0</v>
      </c>
      <c r="N356" s="17">
        <f>N("Car Insurance")-COUNTIF(Budget!$G$14, A356)*Budget!$F$14</f>
        <v>0</v>
      </c>
      <c r="O356" s="17">
        <f>N("Phone Bill")-COUNTIF(Budget!$G$15, A356)*Budget!$F$15</f>
        <v>0</v>
      </c>
      <c r="Q356" s="17">
        <f>N("Spotify")-IF(AND(DAY($A356)=Budget!$M$3, MONTH($A356)=Budget!$L$3),Budget!$K$3,0)</f>
        <v>0</v>
      </c>
      <c r="R356" s="17">
        <f>N("Spotify")-IF(AND(DAY($A356)=Budget!$M$4, MONTH($A356)=Budget!$L$4),Budget!$K$4,0)</f>
        <v>0</v>
      </c>
      <c r="S356" s="17">
        <f>N("Spotify")-IF(AND(DAY($A356)=Budget!$M$5, MONTH($A356)=Budget!$L$5),Budget!$K$5,0)</f>
        <v>0</v>
      </c>
      <c r="T356" s="17">
        <f>N("Amazon Prime")-IF(DAY(A356)=Budget!$Q$3,Budget!$P$3,0)</f>
        <v>0</v>
      </c>
      <c r="U356" s="17">
        <f>N("Audible")-IF(DAY(A356)=Budget!$Q$12,Budget!$P$12,0)</f>
        <v>0</v>
      </c>
      <c r="V356" s="17">
        <f>N("Crunchyroll")-IF(DAY(A356)=Budget!$Q$5,Budget!$P$5,0)</f>
        <v>0</v>
      </c>
      <c r="W356" s="17">
        <f>N("HBO Max")-IF(DAY(A356)=Budget!$Q$6,Budget!$P$6,0)</f>
        <v>0</v>
      </c>
      <c r="X356" s="17">
        <f>N("Netflix")-IF(DAY(A356)=Budget!$Q$7,Budget!$P$7,0)</f>
        <v>0</v>
      </c>
      <c r="Y356" s="17">
        <f>N("Spotify")-IF(DAY(A356)=Budget!$Q$8,Budget!$P$8,0)</f>
        <v>0</v>
      </c>
      <c r="Z356" s="17">
        <f>N("Truebill")-IF(DAY(A356)=Budget!$Q$9,Budget!$P$9,0)</f>
        <v>0</v>
      </c>
      <c r="AA356" s="6">
        <f t="shared" si="40"/>
        <v>0</v>
      </c>
    </row>
    <row r="357" spans="1:27" x14ac:dyDescent="0.3">
      <c r="A357" s="4">
        <f t="shared" si="42"/>
        <v>45973</v>
      </c>
      <c r="B357" s="2">
        <f t="shared" si="41"/>
        <v>2902.4700000000003</v>
      </c>
      <c r="C357" s="7">
        <f t="shared" si="43"/>
        <v>0</v>
      </c>
      <c r="D357" s="1">
        <v>0</v>
      </c>
      <c r="E357" s="17">
        <f>N("PAY-LM")+IF(WEEKDAY(A357)=Budget!$C$3,Budget!$B$3,0)</f>
        <v>0</v>
      </c>
      <c r="F357" s="17">
        <f>N("Rent")-IF(DAY(A357)=Budget!$G$3,Budget!$F$3,0)</f>
        <v>0</v>
      </c>
      <c r="G357" s="17">
        <f>N("Car")-IF(DAY(A357)=Budget!$G$4,Budget!$F$4+Budget!$H$4,0)</f>
        <v>0</v>
      </c>
      <c r="H357" s="17">
        <f>N("Mom Rent")-IF(DAY(A357)=Budget!$G$5,Budget!$F$5,0)</f>
        <v>0</v>
      </c>
      <c r="I357" s="17">
        <f>N("AT&amp;T")-IF(DAY(A357)=Budget!$G$8,Budget!$F$8,0)</f>
        <v>0</v>
      </c>
      <c r="J357" s="17">
        <f>N("GA Power")-IF(DAY(A357)=Budget!$G$9,Budget!$F$9,0)</f>
        <v>0</v>
      </c>
      <c r="K357" s="17">
        <f>N("Haircut")-IF(DAY(A357)=Budget!$G$10,Budget!$F$10,0)</f>
        <v>0</v>
      </c>
      <c r="L357" s="17">
        <f>N("Groceries")-IF(DAY(A357)=Budget!$G$6,Budget!$F$6,0)</f>
        <v>0</v>
      </c>
      <c r="M357" s="17">
        <f>N("Savings")-IF(DAY(A357)=Budget!$G$7,Budget!$F$7,0)</f>
        <v>0</v>
      </c>
      <c r="N357" s="17">
        <f>N("Car Insurance")-COUNTIF(Budget!$G$14, A357)*Budget!$F$14</f>
        <v>0</v>
      </c>
      <c r="O357" s="17">
        <f>N("Phone Bill")-COUNTIF(Budget!$G$15, A357)*Budget!$F$15</f>
        <v>0</v>
      </c>
      <c r="Q357" s="17">
        <f>N("Spotify")-IF(AND(DAY($A357)=Budget!$M$3, MONTH($A357)=Budget!$L$3),Budget!$K$3,0)</f>
        <v>0</v>
      </c>
      <c r="R357" s="17">
        <f>N("Spotify")-IF(AND(DAY($A357)=Budget!$M$4, MONTH($A357)=Budget!$L$4),Budget!$K$4,0)</f>
        <v>0</v>
      </c>
      <c r="S357" s="17">
        <f>N("Spotify")-IF(AND(DAY($A357)=Budget!$M$5, MONTH($A357)=Budget!$L$5),Budget!$K$5,0)</f>
        <v>0</v>
      </c>
      <c r="T357" s="17">
        <f>N("Amazon Prime")-IF(DAY(A357)=Budget!$Q$3,Budget!$P$3,0)</f>
        <v>0</v>
      </c>
      <c r="U357" s="17">
        <f>N("Audible")-IF(DAY(A357)=Budget!$Q$12,Budget!$P$12,0)</f>
        <v>0</v>
      </c>
      <c r="V357" s="17">
        <f>N("Crunchyroll")-IF(DAY(A357)=Budget!$Q$5,Budget!$P$5,0)</f>
        <v>0</v>
      </c>
      <c r="W357" s="17">
        <f>N("HBO Max")-IF(DAY(A357)=Budget!$Q$6,Budget!$P$6,0)</f>
        <v>0</v>
      </c>
      <c r="X357" s="17">
        <f>N("Netflix")-IF(DAY(A357)=Budget!$Q$7,Budget!$P$7,0)</f>
        <v>-6</v>
      </c>
      <c r="Y357" s="17">
        <f>N("Spotify")-IF(DAY(A357)=Budget!$Q$8,Budget!$P$8,0)</f>
        <v>0</v>
      </c>
      <c r="Z357" s="17">
        <f>N("Truebill")-IF(DAY(A357)=Budget!$Q$9,Budget!$P$9,0)</f>
        <v>0</v>
      </c>
      <c r="AA357" s="6">
        <f t="shared" si="40"/>
        <v>-6</v>
      </c>
    </row>
    <row r="358" spans="1:27" x14ac:dyDescent="0.3">
      <c r="A358" s="4">
        <f t="shared" si="42"/>
        <v>45974</v>
      </c>
      <c r="B358" s="2">
        <f t="shared" si="41"/>
        <v>2902.4700000000003</v>
      </c>
      <c r="C358" s="7">
        <f t="shared" si="43"/>
        <v>1</v>
      </c>
      <c r="D358" s="1">
        <v>0</v>
      </c>
      <c r="E358" s="17">
        <f>N("PAY-LM")+IF(WEEKDAY(A358)=Budget!$C$3,Budget!$B$3,0)</f>
        <v>0</v>
      </c>
      <c r="F358" s="17">
        <f>N("Rent")-IF(DAY(A358)=Budget!$G$3,Budget!$F$3,0)</f>
        <v>0</v>
      </c>
      <c r="G358" s="17">
        <f>N("Car")-IF(DAY(A358)=Budget!$G$4,Budget!$F$4+Budget!$H$4,0)</f>
        <v>0</v>
      </c>
      <c r="H358" s="17">
        <f>N("Mom Rent")-IF(DAY(A358)=Budget!$G$5,Budget!$F$5,0)</f>
        <v>0</v>
      </c>
      <c r="I358" s="17">
        <f>N("AT&amp;T")-IF(DAY(A358)=Budget!$G$8,Budget!$F$8,0)</f>
        <v>0</v>
      </c>
      <c r="J358" s="17">
        <f>N("GA Power")-IF(DAY(A358)=Budget!$G$9,Budget!$F$9,0)</f>
        <v>0</v>
      </c>
      <c r="K358" s="17">
        <f>N("Haircut")-IF(DAY(A358)=Budget!$G$10,Budget!$F$10,0)</f>
        <v>0</v>
      </c>
      <c r="L358" s="17">
        <f>N("Groceries")-IF(DAY(A358)=Budget!$G$6,Budget!$F$6,0)</f>
        <v>0</v>
      </c>
      <c r="M358" s="17">
        <f>N("Savings")-IF(DAY(A358)=Budget!$G$7,Budget!$F$7,0)</f>
        <v>0</v>
      </c>
      <c r="N358" s="17">
        <f>N("Car Insurance")-COUNTIF(Budget!$G$14, A358)*Budget!$F$14</f>
        <v>0</v>
      </c>
      <c r="O358" s="17">
        <f>N("Phone Bill")-COUNTIF(Budget!$G$15, A358)*Budget!$F$15</f>
        <v>0</v>
      </c>
      <c r="Q358" s="17">
        <f>N("Spotify")-IF(AND(DAY($A358)=Budget!$M$3, MONTH($A358)=Budget!$L$3),Budget!$K$3,0)</f>
        <v>0</v>
      </c>
      <c r="R358" s="17">
        <f>N("Spotify")-IF(AND(DAY($A358)=Budget!$M$4, MONTH($A358)=Budget!$L$4),Budget!$K$4,0)</f>
        <v>0</v>
      </c>
      <c r="S358" s="17">
        <f>N("Spotify")-IF(AND(DAY($A358)=Budget!$M$5, MONTH($A358)=Budget!$L$5),Budget!$K$5,0)</f>
        <v>0</v>
      </c>
      <c r="T358" s="17">
        <f>N("Amazon Prime")-IF(DAY(A358)=Budget!$Q$3,Budget!$P$3,0)</f>
        <v>0</v>
      </c>
      <c r="U358" s="17">
        <f>N("Audible")-IF(DAY(A358)=Budget!$Q$12,Budget!$P$12,0)</f>
        <v>0</v>
      </c>
      <c r="V358" s="17">
        <f>N("Crunchyroll")-IF(DAY(A358)=Budget!$Q$5,Budget!$P$5,0)</f>
        <v>0</v>
      </c>
      <c r="W358" s="17">
        <f>N("HBO Max")-IF(DAY(A358)=Budget!$Q$6,Budget!$P$6,0)</f>
        <v>0</v>
      </c>
      <c r="X358" s="17">
        <f>N("Netflix")-IF(DAY(A358)=Budget!$Q$7,Budget!$P$7,0)</f>
        <v>0</v>
      </c>
      <c r="Y358" s="17">
        <f>N("Spotify")-IF(DAY(A358)=Budget!$Q$8,Budget!$P$8,0)</f>
        <v>0</v>
      </c>
      <c r="Z358" s="17">
        <f>N("Truebill")-IF(DAY(A358)=Budget!$Q$9,Budget!$P$9,0)</f>
        <v>0</v>
      </c>
      <c r="AA358" s="6">
        <f t="shared" si="40"/>
        <v>0</v>
      </c>
    </row>
    <row r="359" spans="1:27" x14ac:dyDescent="0.3">
      <c r="A359" s="4">
        <f t="shared" si="42"/>
        <v>45975</v>
      </c>
      <c r="B359" s="2">
        <f t="shared" si="41"/>
        <v>4355.47</v>
      </c>
      <c r="C359" s="7">
        <f t="shared" si="43"/>
        <v>2</v>
      </c>
      <c r="D359" s="1">
        <v>0</v>
      </c>
      <c r="E359" s="17">
        <f>N("PAY-LM")+IF(WEEKDAY(A359)=Budget!$C$3,Budget!$B$3,0)</f>
        <v>1453</v>
      </c>
      <c r="F359" s="17">
        <f>N("Rent")-IF(DAY(A359)=Budget!$G$3,Budget!$F$3,0)</f>
        <v>0</v>
      </c>
      <c r="G359" s="17">
        <f>N("Car")-IF(DAY(A359)=Budget!$G$4,Budget!$F$4+Budget!$H$4,0)</f>
        <v>0</v>
      </c>
      <c r="H359" s="17">
        <f>N("Mom Rent")-IF(DAY(A359)=Budget!$G$5,Budget!$F$5,0)</f>
        <v>0</v>
      </c>
      <c r="I359" s="17">
        <f>N("AT&amp;T")-IF(DAY(A359)=Budget!$G$8,Budget!$F$8,0)</f>
        <v>0</v>
      </c>
      <c r="J359" s="17">
        <f>N("GA Power")-IF(DAY(A359)=Budget!$G$9,Budget!$F$9,0)</f>
        <v>0</v>
      </c>
      <c r="K359" s="17">
        <f>N("Haircut")-IF(DAY(A359)=Budget!$G$10,Budget!$F$10,0)</f>
        <v>0</v>
      </c>
      <c r="L359" s="17">
        <f>N("Groceries")-IF(DAY(A359)=Budget!$G$6,Budget!$F$6,0)</f>
        <v>0</v>
      </c>
      <c r="M359" s="17">
        <f>N("Savings")-IF(DAY(A359)=Budget!$G$7,Budget!$F$7,0)</f>
        <v>0</v>
      </c>
      <c r="N359" s="17">
        <f>N("Car Insurance")-COUNTIF(Budget!$G$14, A359)*Budget!$F$14</f>
        <v>0</v>
      </c>
      <c r="O359" s="17">
        <f>N("Phone Bill")-COUNTIF(Budget!$G$15, A359)*Budget!$F$15</f>
        <v>0</v>
      </c>
      <c r="Q359" s="17">
        <f>N("Spotify")-IF(AND(DAY($A359)=Budget!$M$3, MONTH($A359)=Budget!$L$3),Budget!$K$3,0)</f>
        <v>0</v>
      </c>
      <c r="R359" s="17">
        <f>N("Spotify")-IF(AND(DAY($A359)=Budget!$M$4, MONTH($A359)=Budget!$L$4),Budget!$K$4,0)</f>
        <v>0</v>
      </c>
      <c r="S359" s="17">
        <f>N("Spotify")-IF(AND(DAY($A359)=Budget!$M$5, MONTH($A359)=Budget!$L$5),Budget!$K$5,0)</f>
        <v>0</v>
      </c>
      <c r="T359" s="17">
        <f>N("Amazon Prime")-IF(DAY(A359)=Budget!$Q$3,Budget!$P$3,0)</f>
        <v>0</v>
      </c>
      <c r="U359" s="17">
        <f>N("Audible")-IF(DAY(A359)=Budget!$Q$12,Budget!$P$12,0)</f>
        <v>0</v>
      </c>
      <c r="V359" s="17">
        <f>N("Crunchyroll")-IF(DAY(A359)=Budget!$Q$5,Budget!$P$5,0)</f>
        <v>0</v>
      </c>
      <c r="W359" s="17">
        <f>N("HBO Max")-IF(DAY(A359)=Budget!$Q$6,Budget!$P$6,0)</f>
        <v>0</v>
      </c>
      <c r="X359" s="17">
        <f>N("Netflix")-IF(DAY(A359)=Budget!$Q$7,Budget!$P$7,0)</f>
        <v>0</v>
      </c>
      <c r="Y359" s="17">
        <f>N("Spotify")-IF(DAY(A359)=Budget!$Q$8,Budget!$P$8,0)</f>
        <v>0</v>
      </c>
      <c r="Z359" s="17">
        <f>N("Truebill")-IF(DAY(A359)=Budget!$Q$9,Budget!$P$9,0)</f>
        <v>0</v>
      </c>
      <c r="AA359" s="6">
        <f t="shared" si="40"/>
        <v>1453</v>
      </c>
    </row>
    <row r="360" spans="1:27" x14ac:dyDescent="0.3">
      <c r="A360" s="4">
        <f t="shared" si="42"/>
        <v>45976</v>
      </c>
      <c r="B360" s="2">
        <f t="shared" si="41"/>
        <v>4355.47</v>
      </c>
      <c r="C360" s="7">
        <f t="shared" si="43"/>
        <v>1</v>
      </c>
      <c r="D360" s="1">
        <v>0</v>
      </c>
      <c r="E360" s="17">
        <f>N("PAY-LM")+IF(WEEKDAY(A360)=Budget!$C$3,Budget!$B$3,0)</f>
        <v>0</v>
      </c>
      <c r="F360" s="17">
        <f>N("Rent")-IF(DAY(A360)=Budget!$G$3,Budget!$F$3,0)</f>
        <v>0</v>
      </c>
      <c r="G360" s="17">
        <f>N("Car")-IF(DAY(A360)=Budget!$G$4,Budget!$F$4+Budget!$H$4,0)</f>
        <v>0</v>
      </c>
      <c r="H360" s="17">
        <f>N("Mom Rent")-IF(DAY(A360)=Budget!$G$5,Budget!$F$5,0)</f>
        <v>0</v>
      </c>
      <c r="I360" s="17">
        <f>N("AT&amp;T")-IF(DAY(A360)=Budget!$G$8,Budget!$F$8,0)</f>
        <v>0</v>
      </c>
      <c r="J360" s="17">
        <f>N("GA Power")-IF(DAY(A360)=Budget!$G$9,Budget!$F$9,0)</f>
        <v>0</v>
      </c>
      <c r="K360" s="17">
        <f>N("Haircut")-IF(DAY(A360)=Budget!$G$10,Budget!$F$10,0)</f>
        <v>0</v>
      </c>
      <c r="L360" s="17">
        <f>N("Groceries")-IF(DAY(A360)=Budget!$G$6,Budget!$F$6,0)</f>
        <v>0</v>
      </c>
      <c r="M360" s="17">
        <f>N("Savings")-IF(DAY(A360)=Budget!$G$7,Budget!$F$7,0)</f>
        <v>0</v>
      </c>
      <c r="N360" s="17">
        <f>N("Car Insurance")-COUNTIF(Budget!$G$14, A360)*Budget!$F$14</f>
        <v>0</v>
      </c>
      <c r="O360" s="17">
        <f>N("Phone Bill")-COUNTIF(Budget!$G$15, A360)*Budget!$F$15</f>
        <v>0</v>
      </c>
      <c r="Q360" s="17">
        <f>N("Spotify")-IF(AND(DAY($A360)=Budget!$M$3, MONTH($A360)=Budget!$L$3),Budget!$K$3,0)</f>
        <v>0</v>
      </c>
      <c r="R360" s="17">
        <f>N("Spotify")-IF(AND(DAY($A360)=Budget!$M$4, MONTH($A360)=Budget!$L$4),Budget!$K$4,0)</f>
        <v>0</v>
      </c>
      <c r="S360" s="17">
        <f>N("Spotify")-IF(AND(DAY($A360)=Budget!$M$5, MONTH($A360)=Budget!$L$5),Budget!$K$5,0)</f>
        <v>0</v>
      </c>
      <c r="T360" s="17">
        <f>N("Amazon Prime")-IF(DAY(A360)=Budget!$Q$3,Budget!$P$3,0)</f>
        <v>0</v>
      </c>
      <c r="U360" s="17">
        <f>N("Audible")-IF(DAY(A360)=Budget!$Q$12,Budget!$P$12,0)</f>
        <v>0</v>
      </c>
      <c r="V360" s="17">
        <f>N("Crunchyroll")-IF(DAY(A360)=Budget!$Q$5,Budget!$P$5,0)</f>
        <v>0</v>
      </c>
      <c r="W360" s="17">
        <f>N("HBO Max")-IF(DAY(A360)=Budget!$Q$6,Budget!$P$6,0)</f>
        <v>0</v>
      </c>
      <c r="X360" s="17">
        <f>N("Netflix")-IF(DAY(A360)=Budget!$Q$7,Budget!$P$7,0)</f>
        <v>0</v>
      </c>
      <c r="Y360" s="17">
        <f>N("Spotify")-IF(DAY(A360)=Budget!$Q$8,Budget!$P$8,0)</f>
        <v>0</v>
      </c>
      <c r="Z360" s="17">
        <f>N("Truebill")-IF(DAY(A360)=Budget!$Q$9,Budget!$P$9,0)</f>
        <v>0</v>
      </c>
      <c r="AA360" s="6">
        <f t="shared" si="40"/>
        <v>0</v>
      </c>
    </row>
    <row r="361" spans="1:27" x14ac:dyDescent="0.3">
      <c r="A361" s="4">
        <f t="shared" si="42"/>
        <v>45977</v>
      </c>
      <c r="B361" s="2">
        <f t="shared" si="41"/>
        <v>4355.47</v>
      </c>
      <c r="C361" s="7">
        <f t="shared" si="43"/>
        <v>1</v>
      </c>
      <c r="D361" s="1">
        <v>0</v>
      </c>
      <c r="E361" s="17">
        <f>N("PAY-LM")+IF(WEEKDAY(A361)=Budget!$C$3,Budget!$B$3,0)</f>
        <v>0</v>
      </c>
      <c r="F361" s="17">
        <f>N("Rent")-IF(DAY(A361)=Budget!$G$3,Budget!$F$3,0)</f>
        <v>0</v>
      </c>
      <c r="G361" s="17">
        <f>N("Car")-IF(DAY(A361)=Budget!$G$4,Budget!$F$4+Budget!$H$4,0)</f>
        <v>0</v>
      </c>
      <c r="H361" s="17">
        <f>N("Mom Rent")-IF(DAY(A361)=Budget!$G$5,Budget!$F$5,0)</f>
        <v>0</v>
      </c>
      <c r="I361" s="17">
        <f>N("AT&amp;T")-IF(DAY(A361)=Budget!$G$8,Budget!$F$8,0)</f>
        <v>0</v>
      </c>
      <c r="J361" s="17">
        <f>N("GA Power")-IF(DAY(A361)=Budget!$G$9,Budget!$F$9,0)</f>
        <v>0</v>
      </c>
      <c r="K361" s="17">
        <f>N("Haircut")-IF(DAY(A361)=Budget!$G$10,Budget!$F$10,0)</f>
        <v>0</v>
      </c>
      <c r="L361" s="17">
        <f>N("Groceries")-IF(DAY(A361)=Budget!$G$6,Budget!$F$6,0)</f>
        <v>0</v>
      </c>
      <c r="M361" s="17">
        <f>N("Savings")-IF(DAY(A361)=Budget!$G$7,Budget!$F$7,0)</f>
        <v>0</v>
      </c>
      <c r="N361" s="17">
        <f>N("Car Insurance")-COUNTIF(Budget!$G$14, A361)*Budget!$F$14</f>
        <v>0</v>
      </c>
      <c r="O361" s="17">
        <f>N("Phone Bill")-COUNTIF(Budget!$G$15, A361)*Budget!$F$15</f>
        <v>0</v>
      </c>
      <c r="Q361" s="17">
        <f>N("Spotify")-IF(AND(DAY($A361)=Budget!$M$3, MONTH($A361)=Budget!$L$3),Budget!$K$3,0)</f>
        <v>0</v>
      </c>
      <c r="R361" s="17">
        <f>N("Spotify")-IF(AND(DAY($A361)=Budget!$M$4, MONTH($A361)=Budget!$L$4),Budget!$K$4,0)</f>
        <v>0</v>
      </c>
      <c r="S361" s="17">
        <f>N("Spotify")-IF(AND(DAY($A361)=Budget!$M$5, MONTH($A361)=Budget!$L$5),Budget!$K$5,0)</f>
        <v>0</v>
      </c>
      <c r="T361" s="17">
        <f>N("Amazon Prime")-IF(DAY(A361)=Budget!$Q$3,Budget!$P$3,0)</f>
        <v>0</v>
      </c>
      <c r="U361" s="17">
        <f>N("Audible")-IF(DAY(A361)=Budget!$Q$12,Budget!$P$12,0)</f>
        <v>0</v>
      </c>
      <c r="V361" s="17">
        <f>N("Crunchyroll")-IF(DAY(A361)=Budget!$Q$5,Budget!$P$5,0)</f>
        <v>0</v>
      </c>
      <c r="W361" s="17">
        <f>N("HBO Max")-IF(DAY(A361)=Budget!$Q$6,Budget!$P$6,0)</f>
        <v>0</v>
      </c>
      <c r="X361" s="17">
        <f>N("Netflix")-IF(DAY(A361)=Budget!$Q$7,Budget!$P$7,0)</f>
        <v>0</v>
      </c>
      <c r="Y361" s="17">
        <f>N("Spotify")-IF(DAY(A361)=Budget!$Q$8,Budget!$P$8,0)</f>
        <v>0</v>
      </c>
      <c r="Z361" s="17">
        <f>N("Truebill")-IF(DAY(A361)=Budget!$Q$9,Budget!$P$9,0)</f>
        <v>0</v>
      </c>
      <c r="AA361" s="6">
        <f t="shared" si="40"/>
        <v>0</v>
      </c>
    </row>
    <row r="362" spans="1:27" x14ac:dyDescent="0.3">
      <c r="A362" s="4">
        <f t="shared" si="42"/>
        <v>45978</v>
      </c>
      <c r="B362" s="2">
        <f t="shared" si="41"/>
        <v>4355.47</v>
      </c>
      <c r="C362" s="7">
        <f t="shared" si="43"/>
        <v>1</v>
      </c>
      <c r="D362" s="1">
        <v>0</v>
      </c>
      <c r="E362" s="17">
        <f>N("PAY-LM")+IF(WEEKDAY(A362)=Budget!$C$3,Budget!$B$3,0)</f>
        <v>0</v>
      </c>
      <c r="F362" s="17">
        <f>N("Rent")-IF(DAY(A362)=Budget!$G$3,Budget!$F$3,0)</f>
        <v>0</v>
      </c>
      <c r="G362" s="17">
        <f>N("Car")-IF(DAY(A362)=Budget!$G$4,Budget!$F$4+Budget!$H$4,0)</f>
        <v>0</v>
      </c>
      <c r="H362" s="17">
        <f>N("Mom Rent")-IF(DAY(A362)=Budget!$G$5,Budget!$F$5,0)</f>
        <v>0</v>
      </c>
      <c r="I362" s="17">
        <f>N("AT&amp;T")-IF(DAY(A362)=Budget!$G$8,Budget!$F$8,0)</f>
        <v>0</v>
      </c>
      <c r="J362" s="17">
        <f>N("GA Power")-IF(DAY(A362)=Budget!$G$9,Budget!$F$9,0)</f>
        <v>0</v>
      </c>
      <c r="K362" s="17">
        <f>N("Haircut")-IF(DAY(A362)=Budget!$G$10,Budget!$F$10,0)</f>
        <v>0</v>
      </c>
      <c r="L362" s="17">
        <f>N("Groceries")-IF(DAY(A362)=Budget!$G$6,Budget!$F$6,0)</f>
        <v>0</v>
      </c>
      <c r="M362" s="17">
        <f>N("Savings")-IF(DAY(A362)=Budget!$G$7,Budget!$F$7,0)</f>
        <v>0</v>
      </c>
      <c r="N362" s="17">
        <f>N("Car Insurance")-COUNTIF(Budget!$G$14, A362)*Budget!$F$14</f>
        <v>0</v>
      </c>
      <c r="O362" s="17">
        <f>N("Phone Bill")-COUNTIF(Budget!$G$15, A362)*Budget!$F$15</f>
        <v>0</v>
      </c>
      <c r="Q362" s="17">
        <f>N("Spotify")-IF(AND(DAY($A362)=Budget!$M$3, MONTH($A362)=Budget!$L$3),Budget!$K$3,0)</f>
        <v>0</v>
      </c>
      <c r="R362" s="17">
        <f>N("Spotify")-IF(AND(DAY($A362)=Budget!$M$4, MONTH($A362)=Budget!$L$4),Budget!$K$4,0)</f>
        <v>0</v>
      </c>
      <c r="S362" s="17">
        <f>N("Spotify")-IF(AND(DAY($A362)=Budget!$M$5, MONTH($A362)=Budget!$L$5),Budget!$K$5,0)</f>
        <v>0</v>
      </c>
      <c r="T362" s="17">
        <f>N("Amazon Prime")-IF(DAY(A362)=Budget!$Q$3,Budget!$P$3,0)</f>
        <v>0</v>
      </c>
      <c r="U362" s="17">
        <f>N("Audible")-IF(DAY(A362)=Budget!$Q$12,Budget!$P$12,0)</f>
        <v>0</v>
      </c>
      <c r="V362" s="17">
        <f>N("Crunchyroll")-IF(DAY(A362)=Budget!$Q$5,Budget!$P$5,0)</f>
        <v>0</v>
      </c>
      <c r="W362" s="17">
        <f>N("HBO Max")-IF(DAY(A362)=Budget!$Q$6,Budget!$P$6,0)</f>
        <v>0</v>
      </c>
      <c r="X362" s="17">
        <f>N("Netflix")-IF(DAY(A362)=Budget!$Q$7,Budget!$P$7,0)</f>
        <v>0</v>
      </c>
      <c r="Y362" s="17">
        <f>N("Spotify")-IF(DAY(A362)=Budget!$Q$8,Budget!$P$8,0)</f>
        <v>0</v>
      </c>
      <c r="Z362" s="17">
        <f>N("Truebill")-IF(DAY(A362)=Budget!$Q$9,Budget!$P$9,0)</f>
        <v>0</v>
      </c>
      <c r="AA362" s="6">
        <f t="shared" si="40"/>
        <v>0</v>
      </c>
    </row>
    <row r="363" spans="1:27" x14ac:dyDescent="0.3">
      <c r="A363" s="4">
        <f t="shared" si="42"/>
        <v>45979</v>
      </c>
      <c r="B363" s="2">
        <f t="shared" si="41"/>
        <v>4290.47</v>
      </c>
      <c r="C363" s="7">
        <f t="shared" si="43"/>
        <v>0</v>
      </c>
      <c r="D363" s="1">
        <v>0</v>
      </c>
      <c r="E363" s="17">
        <f>N("PAY-LM")+IF(WEEKDAY(A363)=Budget!$C$3,Budget!$B$3,0)</f>
        <v>0</v>
      </c>
      <c r="F363" s="17">
        <f>N("Rent")-IF(DAY(A363)=Budget!$G$3,Budget!$F$3,0)</f>
        <v>0</v>
      </c>
      <c r="G363" s="17">
        <f>N("Car")-IF(DAY(A363)=Budget!$G$4,Budget!$F$4+Budget!$H$4,0)</f>
        <v>0</v>
      </c>
      <c r="H363" s="17">
        <f>N("Mom Rent")-IF(DAY(A363)=Budget!$G$5,Budget!$F$5,0)</f>
        <v>0</v>
      </c>
      <c r="I363" s="17">
        <f>N("AT&amp;T")-IF(DAY(A363)=Budget!$G$8,Budget!$F$8,0)</f>
        <v>-65</v>
      </c>
      <c r="J363" s="17">
        <f>N("GA Power")-IF(DAY(A363)=Budget!$G$9,Budget!$F$9,0)</f>
        <v>0</v>
      </c>
      <c r="K363" s="17">
        <f>N("Haircut")-IF(DAY(A363)=Budget!$G$10,Budget!$F$10,0)</f>
        <v>0</v>
      </c>
      <c r="L363" s="17">
        <f>N("Groceries")-IF(DAY(A363)=Budget!$G$6,Budget!$F$6,0)</f>
        <v>0</v>
      </c>
      <c r="M363" s="17">
        <f>N("Savings")-IF(DAY(A363)=Budget!$G$7,Budget!$F$7,0)</f>
        <v>0</v>
      </c>
      <c r="N363" s="17">
        <f>N("Car Insurance")-COUNTIF(Budget!$G$14, A363)*Budget!$F$14</f>
        <v>0</v>
      </c>
      <c r="O363" s="17">
        <f>N("Phone Bill")-COUNTIF(Budget!$G$15, A363)*Budget!$F$15</f>
        <v>0</v>
      </c>
      <c r="Q363" s="17">
        <f>N("Spotify")-IF(AND(DAY($A363)=Budget!$M$3, MONTH($A363)=Budget!$L$3),Budget!$K$3,0)</f>
        <v>0</v>
      </c>
      <c r="R363" s="17">
        <f>N("Spotify")-IF(AND(DAY($A363)=Budget!$M$4, MONTH($A363)=Budget!$L$4),Budget!$K$4,0)</f>
        <v>0</v>
      </c>
      <c r="S363" s="17">
        <f>N("Spotify")-IF(AND(DAY($A363)=Budget!$M$5, MONTH($A363)=Budget!$L$5),Budget!$K$5,0)</f>
        <v>0</v>
      </c>
      <c r="T363" s="17">
        <f>N("Amazon Prime")-IF(DAY(A363)=Budget!$Q$3,Budget!$P$3,0)</f>
        <v>0</v>
      </c>
      <c r="U363" s="17">
        <f>N("Audible")-IF(DAY(A363)=Budget!$Q$12,Budget!$P$12,0)</f>
        <v>0</v>
      </c>
      <c r="V363" s="17">
        <f>N("Crunchyroll")-IF(DAY(A363)=Budget!$Q$5,Budget!$P$5,0)</f>
        <v>0</v>
      </c>
      <c r="W363" s="17">
        <f>N("HBO Max")-IF(DAY(A363)=Budget!$Q$6,Budget!$P$6,0)</f>
        <v>0</v>
      </c>
      <c r="X363" s="17">
        <f>N("Netflix")-IF(DAY(A363)=Budget!$Q$7,Budget!$P$7,0)</f>
        <v>0</v>
      </c>
      <c r="Y363" s="17">
        <f>N("Spotify")-IF(DAY(A363)=Budget!$Q$8,Budget!$P$8,0)</f>
        <v>0</v>
      </c>
      <c r="Z363" s="17">
        <f>N("Truebill")-IF(DAY(A363)=Budget!$Q$9,Budget!$P$9,0)</f>
        <v>0</v>
      </c>
      <c r="AA363" s="6">
        <f t="shared" si="40"/>
        <v>-65</v>
      </c>
    </row>
    <row r="364" spans="1:27" x14ac:dyDescent="0.3">
      <c r="A364" s="4">
        <f t="shared" si="42"/>
        <v>45980</v>
      </c>
      <c r="B364" s="2">
        <f>2520</f>
        <v>2520</v>
      </c>
      <c r="C364" s="7">
        <f t="shared" si="43"/>
        <v>0</v>
      </c>
      <c r="D364" s="1">
        <v>0</v>
      </c>
      <c r="E364" s="17">
        <f>N("PAY-LM")+IF(WEEKDAY(A364)=Budget!$C$3,Budget!$B$3,0)</f>
        <v>0</v>
      </c>
      <c r="F364" s="17">
        <f>N("Rent")-IF(DAY(A364)=Budget!$G$3,Budget!$F$3,0)</f>
        <v>0</v>
      </c>
      <c r="G364" s="17">
        <f>N("Car")-IF(DAY(A364)=Budget!$G$4,Budget!$F$4+Budget!$H$4,0)</f>
        <v>0</v>
      </c>
      <c r="H364" s="17">
        <f>N("Mom Rent")-IF(DAY(A364)=Budget!$G$5,Budget!$F$5,0)</f>
        <v>0</v>
      </c>
      <c r="I364" s="17">
        <f>N("AT&amp;T")-IF(DAY(A364)=Budget!$G$8,Budget!$F$8,0)</f>
        <v>0</v>
      </c>
      <c r="J364" s="17">
        <f>N("GA Power")-IF(DAY(A364)=Budget!$G$9,Budget!$F$9,0)</f>
        <v>0</v>
      </c>
      <c r="K364" s="17">
        <f>N("Haircut")-IF(DAY(A364)=Budget!$G$10,Budget!$F$10,0)</f>
        <v>0</v>
      </c>
      <c r="L364" s="17">
        <f>N("Groceries")-IF(DAY(A364)=Budget!$G$6,Budget!$F$6,0)</f>
        <v>0</v>
      </c>
      <c r="M364" s="17">
        <f>N("Savings")-IF(DAY(A364)=Budget!$G$7,Budget!$F$7,0)</f>
        <v>0</v>
      </c>
      <c r="N364" s="17">
        <f>N("Car Insurance")-COUNTIF(Budget!$G$14, A364)*Budget!$F$14</f>
        <v>0</v>
      </c>
      <c r="O364" s="17">
        <f>N("Phone Bill")-COUNTIF(Budget!$G$15, A364)*Budget!$F$15</f>
        <v>0</v>
      </c>
      <c r="Q364" s="17">
        <f>N("Spotify")-IF(AND(DAY($A364)=Budget!$M$3, MONTH($A364)=Budget!$L$3),Budget!$K$3,0)</f>
        <v>0</v>
      </c>
      <c r="R364" s="17">
        <f>N("Spotify")-IF(AND(DAY($A364)=Budget!$M$4, MONTH($A364)=Budget!$L$4),Budget!$K$4,0)</f>
        <v>0</v>
      </c>
      <c r="S364" s="17">
        <f>N("Spotify")-IF(AND(DAY($A364)=Budget!$M$5, MONTH($A364)=Budget!$L$5),Budget!$K$5,0)</f>
        <v>0</v>
      </c>
      <c r="T364" s="17">
        <f>N("Amazon Prime")-IF(DAY(A364)=Budget!$Q$3,Budget!$P$3,0)</f>
        <v>0</v>
      </c>
      <c r="U364" s="17">
        <f>N("Audible")-IF(DAY(A364)=Budget!$Q$12,Budget!$P$12,0)</f>
        <v>0</v>
      </c>
      <c r="V364" s="17">
        <f>N("Crunchyroll")-IF(DAY(A364)=Budget!$Q$5,Budget!$P$5,0)</f>
        <v>0</v>
      </c>
      <c r="W364" s="17">
        <f>N("HBO Max")-IF(DAY(A364)=Budget!$Q$6,Budget!$P$6,0)</f>
        <v>0</v>
      </c>
      <c r="X364" s="17">
        <f>N("Netflix")-IF(DAY(A364)=Budget!$Q$7,Budget!$P$7,0)</f>
        <v>0</v>
      </c>
      <c r="Y364" s="17">
        <f>N("Spotify")-IF(DAY(A364)=Budget!$Q$8,Budget!$P$8,0)</f>
        <v>0</v>
      </c>
      <c r="Z364" s="17">
        <f>N("Truebill")-IF(DAY(A364)=Budget!$Q$9,Budget!$P$9,0)</f>
        <v>0</v>
      </c>
      <c r="AA364" s="6">
        <f t="shared" si="40"/>
        <v>0</v>
      </c>
    </row>
    <row r="365" spans="1:27" x14ac:dyDescent="0.3">
      <c r="A365" s="4">
        <f t="shared" si="42"/>
        <v>45981</v>
      </c>
      <c r="B365" s="2">
        <f t="shared" si="41"/>
        <v>1670</v>
      </c>
      <c r="C365" s="7">
        <f t="shared" si="43"/>
        <v>0</v>
      </c>
      <c r="D365" s="1">
        <v>0</v>
      </c>
      <c r="E365" s="17">
        <f>N("PAY-LM")+IF(WEEKDAY(A365)=Budget!$C$3,Budget!$B$3,0)</f>
        <v>0</v>
      </c>
      <c r="F365" s="17">
        <f>N("Rent")-IF(DAY(A365)=Budget!$G$3,Budget!$F$3,0)</f>
        <v>0</v>
      </c>
      <c r="G365" s="17">
        <f>N("Car")-IF(DAY(A365)=Budget!$G$4,Budget!$F$4+Budget!$H$4,0)</f>
        <v>0</v>
      </c>
      <c r="H365" s="17">
        <f>N("Mom Rent")-IF(DAY(A365)=Budget!$G$5,Budget!$F$5,0)</f>
        <v>-850</v>
      </c>
      <c r="I365" s="17">
        <f>N("AT&amp;T")-IF(DAY(A365)=Budget!$G$8,Budget!$F$8,0)</f>
        <v>0</v>
      </c>
      <c r="J365" s="17">
        <f>N("GA Power")-IF(DAY(A365)=Budget!$G$9,Budget!$F$9,0)</f>
        <v>0</v>
      </c>
      <c r="K365" s="17">
        <f>N("Haircut")-IF(DAY(A365)=Budget!$G$10,Budget!$F$10,0)</f>
        <v>0</v>
      </c>
      <c r="L365" s="17">
        <f>N("Groceries")-IF(DAY(A365)=Budget!$G$6,Budget!$F$6,0)</f>
        <v>0</v>
      </c>
      <c r="M365" s="17">
        <f>N("Savings")-IF(DAY(A365)=Budget!$G$7,Budget!$F$7,0)</f>
        <v>0</v>
      </c>
      <c r="N365" s="17">
        <f>N("Car Insurance")-COUNTIF(Budget!$G$14, A365)*Budget!$F$14</f>
        <v>0</v>
      </c>
      <c r="O365" s="17">
        <f>N("Phone Bill")-COUNTIF(Budget!$G$15, A365)*Budget!$F$15</f>
        <v>0</v>
      </c>
      <c r="Q365" s="17">
        <f>N("Spotify")-IF(AND(DAY($A365)=Budget!$M$3, MONTH($A365)=Budget!$L$3),Budget!$K$3,0)</f>
        <v>0</v>
      </c>
      <c r="R365" s="17">
        <f>N("Spotify")-IF(AND(DAY($A365)=Budget!$M$4, MONTH($A365)=Budget!$L$4),Budget!$K$4,0)</f>
        <v>0</v>
      </c>
      <c r="S365" s="17">
        <f>N("Spotify")-IF(AND(DAY($A365)=Budget!$M$5, MONTH($A365)=Budget!$L$5),Budget!$K$5,0)</f>
        <v>0</v>
      </c>
      <c r="T365" s="17">
        <f>N("Amazon Prime")-IF(DAY(A365)=Budget!$Q$3,Budget!$P$3,0)</f>
        <v>0</v>
      </c>
      <c r="U365" s="17">
        <f>N("Audible")-IF(DAY(A365)=Budget!$Q$12,Budget!$P$12,0)</f>
        <v>0</v>
      </c>
      <c r="V365" s="17">
        <f>N("Crunchyroll")-IF(DAY(A365)=Budget!$Q$5,Budget!$P$5,0)</f>
        <v>0</v>
      </c>
      <c r="W365" s="17">
        <f>N("HBO Max")-IF(DAY(A365)=Budget!$Q$6,Budget!$P$6,0)</f>
        <v>0</v>
      </c>
      <c r="X365" s="17">
        <f>N("Netflix")-IF(DAY(A365)=Budget!$Q$7,Budget!$P$7,0)</f>
        <v>0</v>
      </c>
      <c r="Y365" s="17">
        <f>N("Spotify")-IF(DAY(A365)=Budget!$Q$8,Budget!$P$8,0)</f>
        <v>0</v>
      </c>
      <c r="Z365" s="17">
        <f>N("Truebill")-IF(DAY(A365)=Budget!$Q$9,Budget!$P$9,0)</f>
        <v>0</v>
      </c>
      <c r="AA365" s="6">
        <f t="shared" si="40"/>
        <v>-850</v>
      </c>
    </row>
    <row r="366" spans="1:27" x14ac:dyDescent="0.3">
      <c r="A366" s="4">
        <f t="shared" si="42"/>
        <v>45982</v>
      </c>
      <c r="B366" s="2">
        <f t="shared" si="41"/>
        <v>3123</v>
      </c>
      <c r="C366" s="7">
        <f t="shared" si="43"/>
        <v>2</v>
      </c>
      <c r="D366" s="1">
        <v>0</v>
      </c>
      <c r="E366" s="17">
        <f>N("PAY-LM")+IF(WEEKDAY(A366)=Budget!$C$3,Budget!$B$3,0)</f>
        <v>1453</v>
      </c>
      <c r="F366" s="17">
        <f>N("Rent")-IF(DAY(A366)=Budget!$G$3,Budget!$F$3,0)</f>
        <v>0</v>
      </c>
      <c r="G366" s="17">
        <f>N("Car")-IF(DAY(A366)=Budget!$G$4,Budget!$F$4+Budget!$H$4,0)</f>
        <v>0</v>
      </c>
      <c r="H366" s="17">
        <f>N("Mom Rent")-IF(DAY(A366)=Budget!$G$5,Budget!$F$5,0)</f>
        <v>0</v>
      </c>
      <c r="I366" s="17">
        <f>N("AT&amp;T")-IF(DAY(A366)=Budget!$G$8,Budget!$F$8,0)</f>
        <v>0</v>
      </c>
      <c r="J366" s="17">
        <f>N("GA Power")-IF(DAY(A366)=Budget!$G$9,Budget!$F$9,0)</f>
        <v>0</v>
      </c>
      <c r="K366" s="17">
        <f>N("Haircut")-IF(DAY(A366)=Budget!$G$10,Budget!$F$10,0)</f>
        <v>0</v>
      </c>
      <c r="L366" s="17">
        <f>N("Groceries")-IF(DAY(A366)=Budget!$G$6,Budget!$F$6,0)</f>
        <v>0</v>
      </c>
      <c r="M366" s="17">
        <f>N("Savings")-IF(DAY(A366)=Budget!$G$7,Budget!$F$7,0)</f>
        <v>0</v>
      </c>
      <c r="N366" s="17">
        <f>N("Car Insurance")-COUNTIF(Budget!$G$14, A366)*Budget!$F$14</f>
        <v>0</v>
      </c>
      <c r="O366" s="17">
        <f>N("Phone Bill")-COUNTIF(Budget!$G$15, A366)*Budget!$F$15</f>
        <v>0</v>
      </c>
      <c r="Q366" s="17">
        <f>N("Spotify")-IF(AND(DAY($A366)=Budget!$M$3, MONTH($A366)=Budget!$L$3),Budget!$K$3,0)</f>
        <v>0</v>
      </c>
      <c r="R366" s="17">
        <f>N("Spotify")-IF(AND(DAY($A366)=Budget!$M$4, MONTH($A366)=Budget!$L$4),Budget!$K$4,0)</f>
        <v>0</v>
      </c>
      <c r="S366" s="17">
        <f>N("Spotify")-IF(AND(DAY($A366)=Budget!$M$5, MONTH($A366)=Budget!$L$5),Budget!$K$5,0)</f>
        <v>0</v>
      </c>
      <c r="T366" s="17">
        <f>N("Amazon Prime")-IF(DAY(A366)=Budget!$Q$3,Budget!$P$3,0)</f>
        <v>0</v>
      </c>
      <c r="U366" s="17">
        <f>N("Audible")-IF(DAY(A366)=Budget!$Q$12,Budget!$P$12,0)</f>
        <v>0</v>
      </c>
      <c r="V366" s="17">
        <f>N("Crunchyroll")-IF(DAY(A366)=Budget!$Q$5,Budget!$P$5,0)</f>
        <v>0</v>
      </c>
      <c r="W366" s="17">
        <f>N("HBO Max")-IF(DAY(A366)=Budget!$Q$6,Budget!$P$6,0)</f>
        <v>0</v>
      </c>
      <c r="X366" s="17">
        <f>N("Netflix")-IF(DAY(A366)=Budget!$Q$7,Budget!$P$7,0)</f>
        <v>0</v>
      </c>
      <c r="Y366" s="17">
        <f>N("Spotify")-IF(DAY(A366)=Budget!$Q$8,Budget!$P$8,0)</f>
        <v>0</v>
      </c>
      <c r="Z366" s="17">
        <f>N("Truebill")-IF(DAY(A366)=Budget!$Q$9,Budget!$P$9,0)</f>
        <v>0</v>
      </c>
      <c r="AA366" s="6">
        <f t="shared" si="40"/>
        <v>1453</v>
      </c>
    </row>
    <row r="367" spans="1:27" x14ac:dyDescent="0.3">
      <c r="A367" s="4">
        <f t="shared" si="42"/>
        <v>45983</v>
      </c>
      <c r="B367" s="2">
        <f t="shared" si="41"/>
        <v>3123</v>
      </c>
      <c r="C367" s="7">
        <f t="shared" si="43"/>
        <v>1</v>
      </c>
      <c r="D367" s="1">
        <v>0</v>
      </c>
      <c r="E367" s="17">
        <f>N("PAY-LM")+IF(WEEKDAY(A367)=Budget!$C$3,Budget!$B$3,0)</f>
        <v>0</v>
      </c>
      <c r="F367" s="17">
        <f>N("Rent")-IF(DAY(A367)=Budget!$G$3,Budget!$F$3,0)</f>
        <v>0</v>
      </c>
      <c r="G367" s="17">
        <f>N("Car")-IF(DAY(A367)=Budget!$G$4,Budget!$F$4+Budget!$H$4,0)</f>
        <v>0</v>
      </c>
      <c r="H367" s="17">
        <f>N("Mom Rent")-IF(DAY(A367)=Budget!$G$5,Budget!$F$5,0)</f>
        <v>0</v>
      </c>
      <c r="I367" s="17">
        <f>N("AT&amp;T")-IF(DAY(A367)=Budget!$G$8,Budget!$F$8,0)</f>
        <v>0</v>
      </c>
      <c r="J367" s="17">
        <f>N("GA Power")-IF(DAY(A367)=Budget!$G$9,Budget!$F$9,0)</f>
        <v>0</v>
      </c>
      <c r="K367" s="17">
        <f>N("Haircut")-IF(DAY(A367)=Budget!$G$10,Budget!$F$10,0)</f>
        <v>0</v>
      </c>
      <c r="L367" s="17">
        <f>N("Groceries")-IF(DAY(A367)=Budget!$G$6,Budget!$F$6,0)</f>
        <v>0</v>
      </c>
      <c r="M367" s="17">
        <f>N("Savings")-IF(DAY(A367)=Budget!$G$7,Budget!$F$7,0)</f>
        <v>0</v>
      </c>
      <c r="N367" s="17">
        <f>N("Car Insurance")-COUNTIF(Budget!$G$14, A367)*Budget!$F$14</f>
        <v>0</v>
      </c>
      <c r="O367" s="17">
        <f>N("Phone Bill")-COUNTIF(Budget!$G$15, A367)*Budget!$F$15</f>
        <v>0</v>
      </c>
      <c r="Q367" s="17">
        <f>N("Spotify")-IF(AND(DAY($A367)=Budget!$M$3, MONTH($A367)=Budget!$L$3),Budget!$K$3,0)</f>
        <v>0</v>
      </c>
      <c r="R367" s="17">
        <f>N("Spotify")-IF(AND(DAY($A367)=Budget!$M$4, MONTH($A367)=Budget!$L$4),Budget!$K$4,0)</f>
        <v>0</v>
      </c>
      <c r="S367" s="17">
        <f>N("Spotify")-IF(AND(DAY($A367)=Budget!$M$5, MONTH($A367)=Budget!$L$5),Budget!$K$5,0)</f>
        <v>0</v>
      </c>
      <c r="T367" s="17">
        <f>N("Amazon Prime")-IF(DAY(A367)=Budget!$Q$3,Budget!$P$3,0)</f>
        <v>0</v>
      </c>
      <c r="U367" s="17">
        <f>N("Audible")-IF(DAY(A367)=Budget!$Q$12,Budget!$P$12,0)</f>
        <v>0</v>
      </c>
      <c r="V367" s="17">
        <f>N("Crunchyroll")-IF(DAY(A367)=Budget!$Q$5,Budget!$P$5,0)</f>
        <v>0</v>
      </c>
      <c r="W367" s="17">
        <f>N("HBO Max")-IF(DAY(A367)=Budget!$Q$6,Budget!$P$6,0)</f>
        <v>0</v>
      </c>
      <c r="X367" s="17">
        <f>N("Netflix")-IF(DAY(A367)=Budget!$Q$7,Budget!$P$7,0)</f>
        <v>0</v>
      </c>
      <c r="Y367" s="17">
        <f>N("Spotify")-IF(DAY(A367)=Budget!$Q$8,Budget!$P$8,0)</f>
        <v>0</v>
      </c>
      <c r="Z367" s="17">
        <f>N("Truebill")-IF(DAY(A367)=Budget!$Q$9,Budget!$P$9,0)</f>
        <v>0</v>
      </c>
      <c r="AA367" s="6">
        <f t="shared" si="40"/>
        <v>0</v>
      </c>
    </row>
    <row r="368" spans="1:27" x14ac:dyDescent="0.3">
      <c r="A368" s="4">
        <f t="shared" si="42"/>
        <v>45984</v>
      </c>
      <c r="B368" s="2">
        <f t="shared" si="41"/>
        <v>3123</v>
      </c>
      <c r="C368" s="7">
        <f t="shared" si="43"/>
        <v>1</v>
      </c>
      <c r="D368" s="1">
        <v>0</v>
      </c>
      <c r="E368" s="17">
        <f>N("PAY-LM")+IF(WEEKDAY(A368)=Budget!$C$3,Budget!$B$3,0)</f>
        <v>0</v>
      </c>
      <c r="F368" s="17">
        <f>N("Rent")-IF(DAY(A368)=Budget!$G$3,Budget!$F$3,0)</f>
        <v>0</v>
      </c>
      <c r="G368" s="17">
        <f>N("Car")-IF(DAY(A368)=Budget!$G$4,Budget!$F$4+Budget!$H$4,0)</f>
        <v>0</v>
      </c>
      <c r="H368" s="17">
        <f>N("Mom Rent")-IF(DAY(A368)=Budget!$G$5,Budget!$F$5,0)</f>
        <v>0</v>
      </c>
      <c r="I368" s="17">
        <f>N("AT&amp;T")-IF(DAY(A368)=Budget!$G$8,Budget!$F$8,0)</f>
        <v>0</v>
      </c>
      <c r="J368" s="17">
        <f>N("GA Power")-IF(DAY(A368)=Budget!$G$9,Budget!$F$9,0)</f>
        <v>0</v>
      </c>
      <c r="K368" s="17">
        <f>N("Haircut")-IF(DAY(A368)=Budget!$G$10,Budget!$F$10,0)</f>
        <v>0</v>
      </c>
      <c r="L368" s="17">
        <f>N("Groceries")-IF(DAY(A368)=Budget!$G$6,Budget!$F$6,0)</f>
        <v>0</v>
      </c>
      <c r="M368" s="17">
        <f>N("Savings")-IF(DAY(A368)=Budget!$G$7,Budget!$F$7,0)</f>
        <v>0</v>
      </c>
      <c r="N368" s="17">
        <f>N("Car Insurance")-COUNTIF(Budget!$G$14, A368)*Budget!$F$14</f>
        <v>0</v>
      </c>
      <c r="O368" s="17">
        <f>N("Phone Bill")-COUNTIF(Budget!$G$15, A368)*Budget!$F$15</f>
        <v>0</v>
      </c>
      <c r="Q368" s="17">
        <f>N("Spotify")-IF(AND(DAY($A368)=Budget!$M$3, MONTH($A368)=Budget!$L$3),Budget!$K$3,0)</f>
        <v>0</v>
      </c>
      <c r="R368" s="17">
        <f>N("Spotify")-IF(AND(DAY($A368)=Budget!$M$4, MONTH($A368)=Budget!$L$4),Budget!$K$4,0)</f>
        <v>0</v>
      </c>
      <c r="S368" s="17">
        <f>N("Spotify")-IF(AND(DAY($A368)=Budget!$M$5, MONTH($A368)=Budget!$L$5),Budget!$K$5,0)</f>
        <v>0</v>
      </c>
      <c r="T368" s="17">
        <f>N("Amazon Prime")-IF(DAY(A368)=Budget!$Q$3,Budget!$P$3,0)</f>
        <v>0</v>
      </c>
      <c r="U368" s="17">
        <f>N("Audible")-IF(DAY(A368)=Budget!$Q$12,Budget!$P$12,0)</f>
        <v>0</v>
      </c>
      <c r="V368" s="17">
        <f>N("Crunchyroll")-IF(DAY(A368)=Budget!$Q$5,Budget!$P$5,0)</f>
        <v>0</v>
      </c>
      <c r="W368" s="17">
        <f>N("HBO Max")-IF(DAY(A368)=Budget!$Q$6,Budget!$P$6,0)</f>
        <v>0</v>
      </c>
      <c r="X368" s="17">
        <f>N("Netflix")-IF(DAY(A368)=Budget!$Q$7,Budget!$P$7,0)</f>
        <v>0</v>
      </c>
      <c r="Y368" s="17">
        <f>N("Spotify")-IF(DAY(A368)=Budget!$Q$8,Budget!$P$8,0)</f>
        <v>0</v>
      </c>
      <c r="Z368" s="17">
        <f>N("Truebill")-IF(DAY(A368)=Budget!$Q$9,Budget!$P$9,0)</f>
        <v>0</v>
      </c>
      <c r="AA368" s="6">
        <f t="shared" si="40"/>
        <v>0</v>
      </c>
    </row>
    <row r="369" spans="1:30" x14ac:dyDescent="0.3">
      <c r="A369" s="4">
        <f t="shared" si="42"/>
        <v>45985</v>
      </c>
      <c r="B369" s="2">
        <f t="shared" si="41"/>
        <v>3123</v>
      </c>
      <c r="C369" s="7">
        <f t="shared" si="43"/>
        <v>1</v>
      </c>
      <c r="D369" s="1">
        <v>0</v>
      </c>
      <c r="E369" s="17">
        <f>N("PAY-LM")+IF(WEEKDAY(A369)=Budget!$C$3,Budget!$B$3,0)</f>
        <v>0</v>
      </c>
      <c r="F369" s="17">
        <f>N("Rent")-IF(DAY(A369)=Budget!$G$3,Budget!$F$3,0)</f>
        <v>0</v>
      </c>
      <c r="G369" s="17">
        <f>N("Car")-IF(DAY(A369)=Budget!$G$4,Budget!$F$4+Budget!$H$4,0)</f>
        <v>0</v>
      </c>
      <c r="H369" s="17">
        <f>N("Mom Rent")-IF(DAY(A369)=Budget!$G$5,Budget!$F$5,0)</f>
        <v>0</v>
      </c>
      <c r="I369" s="17">
        <f>N("AT&amp;T")-IF(DAY(A369)=Budget!$G$8,Budget!$F$8,0)</f>
        <v>0</v>
      </c>
      <c r="J369" s="17">
        <f>N("GA Power")-IF(DAY(A369)=Budget!$G$9,Budget!$F$9,0)</f>
        <v>0</v>
      </c>
      <c r="K369" s="17">
        <f>N("Haircut")-IF(DAY(A369)=Budget!$G$10,Budget!$F$10,0)</f>
        <v>0</v>
      </c>
      <c r="L369" s="17">
        <f>N("Groceries")-IF(DAY(A369)=Budget!$G$6,Budget!$F$6,0)</f>
        <v>0</v>
      </c>
      <c r="M369" s="17">
        <f>N("Savings")-IF(DAY(A369)=Budget!$G$7,Budget!$F$7,0)</f>
        <v>0</v>
      </c>
      <c r="N369" s="17">
        <f>N("Car Insurance")-COUNTIF(Budget!$G$14, A369)*Budget!$F$14</f>
        <v>0</v>
      </c>
      <c r="O369" s="17">
        <f>N("Phone Bill")-COUNTIF(Budget!$G$15, A369)*Budget!$F$15</f>
        <v>0</v>
      </c>
      <c r="Q369" s="17">
        <f>N("Spotify")-IF(AND(DAY($A369)=Budget!$M$3, MONTH($A369)=Budget!$L$3),Budget!$K$3,0)</f>
        <v>0</v>
      </c>
      <c r="R369" s="17">
        <f>N("Spotify")-IF(AND(DAY($A369)=Budget!$M$4, MONTH($A369)=Budget!$L$4),Budget!$K$4,0)</f>
        <v>0</v>
      </c>
      <c r="S369" s="17">
        <f>N("Spotify")-IF(AND(DAY($A369)=Budget!$M$5, MONTH($A369)=Budget!$L$5),Budget!$K$5,0)</f>
        <v>0</v>
      </c>
      <c r="T369" s="17">
        <f>N("Amazon Prime")-IF(DAY(A369)=Budget!$Q$3,Budget!$P$3,0)</f>
        <v>0</v>
      </c>
      <c r="U369" s="17">
        <f>N("Audible")-IF(DAY(A369)=Budget!$Q$12,Budget!$P$12,0)</f>
        <v>0</v>
      </c>
      <c r="V369" s="17">
        <f>N("Crunchyroll")-IF(DAY(A369)=Budget!$Q$5,Budget!$P$5,0)</f>
        <v>0</v>
      </c>
      <c r="W369" s="17">
        <f>N("HBO Max")-IF(DAY(A369)=Budget!$Q$6,Budget!$P$6,0)</f>
        <v>0</v>
      </c>
      <c r="X369" s="17">
        <f>N("Netflix")-IF(DAY(A369)=Budget!$Q$7,Budget!$P$7,0)</f>
        <v>0</v>
      </c>
      <c r="Y369" s="17">
        <f>N("Spotify")-IF(DAY(A369)=Budget!$Q$8,Budget!$P$8,0)</f>
        <v>0</v>
      </c>
      <c r="Z369" s="17">
        <f>N("Truebill")-IF(DAY(A369)=Budget!$Q$9,Budget!$P$9,0)</f>
        <v>0</v>
      </c>
      <c r="AA369" s="6">
        <f t="shared" si="40"/>
        <v>0</v>
      </c>
    </row>
    <row r="370" spans="1:30" x14ac:dyDescent="0.3">
      <c r="A370" s="4">
        <f t="shared" si="42"/>
        <v>45986</v>
      </c>
      <c r="B370" s="2">
        <f t="shared" si="41"/>
        <v>3123</v>
      </c>
      <c r="C370" s="7">
        <f t="shared" si="43"/>
        <v>1</v>
      </c>
      <c r="D370" s="1">
        <v>0</v>
      </c>
      <c r="E370" s="17">
        <f>N("PAY-LM")+IF(WEEKDAY(A370)=Budget!$C$3,Budget!$B$3,0)</f>
        <v>0</v>
      </c>
      <c r="F370" s="17">
        <f>N("Rent")-IF(DAY(A370)=Budget!$G$3,Budget!$F$3,0)</f>
        <v>0</v>
      </c>
      <c r="G370" s="17">
        <f>N("Car")-IF(DAY(A370)=Budget!$G$4,Budget!$F$4+Budget!$H$4,0)</f>
        <v>0</v>
      </c>
      <c r="H370" s="17">
        <f>N("Mom Rent")-IF(DAY(A370)=Budget!$G$5,Budget!$F$5,0)</f>
        <v>0</v>
      </c>
      <c r="I370" s="17">
        <f>N("AT&amp;T")-IF(DAY(A370)=Budget!$G$8,Budget!$F$8,0)</f>
        <v>0</v>
      </c>
      <c r="J370" s="17">
        <f>N("GA Power")-IF(DAY(A370)=Budget!$G$9,Budget!$F$9,0)</f>
        <v>0</v>
      </c>
      <c r="K370" s="17">
        <f>N("Haircut")-IF(DAY(A370)=Budget!$G$10,Budget!$F$10,0)</f>
        <v>0</v>
      </c>
      <c r="L370" s="17">
        <f>N("Groceries")-IF(DAY(A370)=Budget!$G$6,Budget!$F$6,0)</f>
        <v>0</v>
      </c>
      <c r="M370" s="17">
        <f>N("Savings")-IF(DAY(A370)=Budget!$G$7,Budget!$F$7,0)</f>
        <v>0</v>
      </c>
      <c r="N370" s="17">
        <f>N("Car Insurance")-COUNTIF(Budget!$G$14, A370)*Budget!$F$14</f>
        <v>0</v>
      </c>
      <c r="O370" s="17">
        <f>N("Phone Bill")-COUNTIF(Budget!$G$15, A370)*Budget!$F$15</f>
        <v>0</v>
      </c>
      <c r="Q370" s="17">
        <f>N("Spotify")-IF(AND(DAY($A370)=Budget!$M$3, MONTH($A370)=Budget!$L$3),Budget!$K$3,0)</f>
        <v>0</v>
      </c>
      <c r="R370" s="17">
        <f>N("Spotify")-IF(AND(DAY($A370)=Budget!$M$4, MONTH($A370)=Budget!$L$4),Budget!$K$4,0)</f>
        <v>0</v>
      </c>
      <c r="S370" s="17">
        <f>N("Spotify")-IF(AND(DAY($A370)=Budget!$M$5, MONTH($A370)=Budget!$L$5),Budget!$K$5,0)</f>
        <v>0</v>
      </c>
      <c r="T370" s="17">
        <f>N("Amazon Prime")-IF(DAY(A370)=Budget!$Q$3,Budget!$P$3,0)</f>
        <v>0</v>
      </c>
      <c r="U370" s="17">
        <f>N("Audible")-IF(DAY(A370)=Budget!$Q$12,Budget!$P$12,0)</f>
        <v>0</v>
      </c>
      <c r="V370" s="17">
        <f>N("Crunchyroll")-IF(DAY(A370)=Budget!$Q$5,Budget!$P$5,0)</f>
        <v>0</v>
      </c>
      <c r="W370" s="17">
        <f>N("HBO Max")-IF(DAY(A370)=Budget!$Q$6,Budget!$P$6,0)</f>
        <v>0</v>
      </c>
      <c r="X370" s="17">
        <f>N("Netflix")-IF(DAY(A370)=Budget!$Q$7,Budget!$P$7,0)</f>
        <v>0</v>
      </c>
      <c r="Y370" s="17">
        <f>N("Spotify")-IF(DAY(A370)=Budget!$Q$8,Budget!$P$8,0)</f>
        <v>0</v>
      </c>
      <c r="Z370" s="17">
        <f>N("Truebill")-IF(DAY(A370)=Budget!$Q$9,Budget!$P$9,0)</f>
        <v>0</v>
      </c>
      <c r="AA370" s="6">
        <f t="shared" si="40"/>
        <v>0</v>
      </c>
    </row>
    <row r="371" spans="1:30" x14ac:dyDescent="0.3">
      <c r="A371" s="4">
        <f t="shared" si="42"/>
        <v>45987</v>
      </c>
      <c r="B371" s="2">
        <f t="shared" si="41"/>
        <v>2723</v>
      </c>
      <c r="C371" s="7">
        <f t="shared" si="43"/>
        <v>0</v>
      </c>
      <c r="D371" s="1">
        <v>0</v>
      </c>
      <c r="E371" s="17">
        <f>N("PAY-LM")+IF(WEEKDAY(A371)=Budget!$C$3,Budget!$B$3,0)</f>
        <v>0</v>
      </c>
      <c r="F371" s="17">
        <f>N("Rent")-IF(DAY(A371)=Budget!$G$3,Budget!$F$3,0)</f>
        <v>0</v>
      </c>
      <c r="G371" s="17">
        <f>N("Car")-IF(DAY(A371)=Budget!$G$4,Budget!$F$4+Budget!$H$4,0)</f>
        <v>0</v>
      </c>
      <c r="H371" s="17">
        <f>N("Mom Rent")-IF(DAY(A371)=Budget!$G$5,Budget!$F$5,0)</f>
        <v>0</v>
      </c>
      <c r="I371" s="17">
        <f>N("AT&amp;T")-IF(DAY(A371)=Budget!$G$8,Budget!$F$8,0)</f>
        <v>0</v>
      </c>
      <c r="J371" s="17">
        <f>N("GA Power")-IF(DAY(A371)=Budget!$G$9,Budget!$F$9,0)</f>
        <v>0</v>
      </c>
      <c r="K371" s="17">
        <f>N("Haircut")-IF(DAY(A371)=Budget!$G$10,Budget!$F$10,0)</f>
        <v>-400</v>
      </c>
      <c r="L371" s="17">
        <f>N("Groceries")-IF(DAY(A371)=Budget!$G$6,Budget!$F$6,0)</f>
        <v>0</v>
      </c>
      <c r="M371" s="17">
        <f>N("Savings")-IF(DAY(A371)=Budget!$G$7,Budget!$F$7,0)</f>
        <v>0</v>
      </c>
      <c r="N371" s="17">
        <f>N("Car Insurance")-COUNTIF(Budget!$G$14, A371)*Budget!$F$14</f>
        <v>0</v>
      </c>
      <c r="O371" s="17">
        <f>N("Phone Bill")-COUNTIF(Budget!$G$15, A371)*Budget!$F$15</f>
        <v>0</v>
      </c>
      <c r="Q371" s="17">
        <f>N("Spotify")-IF(AND(DAY($A371)=Budget!$M$3, MONTH($A371)=Budget!$L$3),Budget!$K$3,0)</f>
        <v>0</v>
      </c>
      <c r="R371" s="17">
        <f>N("Spotify")-IF(AND(DAY($A371)=Budget!$M$4, MONTH($A371)=Budget!$L$4),Budget!$K$4,0)</f>
        <v>0</v>
      </c>
      <c r="S371" s="17">
        <f>N("Spotify")-IF(AND(DAY($A371)=Budget!$M$5, MONTH($A371)=Budget!$L$5),Budget!$K$5,0)</f>
        <v>0</v>
      </c>
      <c r="T371" s="17">
        <f>N("Amazon Prime")-IF(DAY(A371)=Budget!$Q$3,Budget!$P$3,0)</f>
        <v>0</v>
      </c>
      <c r="U371" s="17">
        <f>N("Audible")-IF(DAY(A371)=Budget!$Q$12,Budget!$P$12,0)</f>
        <v>0</v>
      </c>
      <c r="V371" s="17">
        <f>N("Crunchyroll")-IF(DAY(A371)=Budget!$Q$5,Budget!$P$5,0)</f>
        <v>0</v>
      </c>
      <c r="W371" s="17">
        <f>N("HBO Max")-IF(DAY(A371)=Budget!$Q$6,Budget!$P$6,0)</f>
        <v>0</v>
      </c>
      <c r="X371" s="17">
        <f>N("Netflix")-IF(DAY(A371)=Budget!$Q$7,Budget!$P$7,0)</f>
        <v>0</v>
      </c>
      <c r="Y371" s="17">
        <f>N("Spotify")-IF(DAY(A371)=Budget!$Q$8,Budget!$P$8,0)</f>
        <v>0</v>
      </c>
      <c r="Z371" s="17">
        <f>N("Truebill")-IF(DAY(A371)=Budget!$Q$9,Budget!$P$9,0)</f>
        <v>0</v>
      </c>
      <c r="AA371" s="6">
        <f t="shared" si="40"/>
        <v>-400</v>
      </c>
    </row>
    <row r="372" spans="1:30" x14ac:dyDescent="0.3">
      <c r="A372" s="4">
        <f t="shared" si="42"/>
        <v>45988</v>
      </c>
      <c r="B372" s="2">
        <f t="shared" si="41"/>
        <v>2723</v>
      </c>
      <c r="C372" s="7">
        <f t="shared" si="43"/>
        <v>1</v>
      </c>
      <c r="D372" s="1">
        <v>0</v>
      </c>
      <c r="E372" s="17">
        <f>N("PAY-LM")+IF(WEEKDAY(A372)=Budget!$C$3,Budget!$B$3,0)</f>
        <v>0</v>
      </c>
      <c r="F372" s="17">
        <f>N("Rent")-IF(DAY(A372)=Budget!$G$3,Budget!$F$3,0)</f>
        <v>0</v>
      </c>
      <c r="G372" s="17">
        <f>N("Car")-IF(DAY(A372)=Budget!$G$4,Budget!$F$4+Budget!$H$4,0)</f>
        <v>0</v>
      </c>
      <c r="H372" s="17">
        <f>N("Mom Rent")-IF(DAY(A372)=Budget!$G$5,Budget!$F$5,0)</f>
        <v>0</v>
      </c>
      <c r="I372" s="17">
        <f>N("AT&amp;T")-IF(DAY(A372)=Budget!$G$8,Budget!$F$8,0)</f>
        <v>0</v>
      </c>
      <c r="J372" s="17">
        <f>N("GA Power")-IF(DAY(A372)=Budget!$G$9,Budget!$F$9,0)</f>
        <v>0</v>
      </c>
      <c r="K372" s="17">
        <f>N("Haircut")-IF(DAY(A372)=Budget!$G$10,Budget!$F$10,0)</f>
        <v>0</v>
      </c>
      <c r="L372" s="17">
        <f>N("Groceries")-IF(DAY(A372)=Budget!$G$6,Budget!$F$6,0)</f>
        <v>0</v>
      </c>
      <c r="M372" s="17">
        <f>N("Savings")-IF(DAY(A372)=Budget!$G$7,Budget!$F$7,0)</f>
        <v>0</v>
      </c>
      <c r="N372" s="17">
        <f>N("Car Insurance")-COUNTIF(Budget!$G$14, A372)*Budget!$F$14</f>
        <v>0</v>
      </c>
      <c r="O372" s="17">
        <f>N("Phone Bill")-COUNTIF(Budget!$G$15, A372)*Budget!$F$15</f>
        <v>0</v>
      </c>
      <c r="Q372" s="17">
        <f>N("Spotify")-IF(AND(DAY($A372)=Budget!$M$3, MONTH($A372)=Budget!$L$3),Budget!$K$3,0)</f>
        <v>0</v>
      </c>
      <c r="R372" s="17">
        <f>N("Spotify")-IF(AND(DAY($A372)=Budget!$M$4, MONTH($A372)=Budget!$L$4),Budget!$K$4,0)</f>
        <v>0</v>
      </c>
      <c r="S372" s="17">
        <f>N("Spotify")-IF(AND(DAY($A372)=Budget!$M$5, MONTH($A372)=Budget!$L$5),Budget!$K$5,0)</f>
        <v>0</v>
      </c>
      <c r="T372" s="17">
        <f>N("Amazon Prime")-IF(DAY(A372)=Budget!$Q$3,Budget!$P$3,0)</f>
        <v>0</v>
      </c>
      <c r="U372" s="17">
        <f>N("Audible")-IF(DAY(A372)=Budget!$Q$12,Budget!$P$12,0)</f>
        <v>0</v>
      </c>
      <c r="V372" s="17">
        <f>N("Crunchyroll")-IF(DAY(A372)=Budget!$Q$5,Budget!$P$5,0)</f>
        <v>0</v>
      </c>
      <c r="W372" s="17">
        <f>N("HBO Max")-IF(DAY(A372)=Budget!$Q$6,Budget!$P$6,0)</f>
        <v>0</v>
      </c>
      <c r="X372" s="17">
        <f>N("Netflix")-IF(DAY(A372)=Budget!$Q$7,Budget!$P$7,0)</f>
        <v>0</v>
      </c>
      <c r="Y372" s="17">
        <f>N("Spotify")-IF(DAY(A372)=Budget!$Q$8,Budget!$P$8,0)</f>
        <v>0</v>
      </c>
      <c r="Z372" s="17">
        <f>N("Truebill")-IF(DAY(A372)=Budget!$Q$9,Budget!$P$9,0)</f>
        <v>0</v>
      </c>
      <c r="AA372" s="6">
        <f t="shared" si="40"/>
        <v>0</v>
      </c>
    </row>
    <row r="373" spans="1:30" x14ac:dyDescent="0.3">
      <c r="A373" s="4">
        <f t="shared" si="42"/>
        <v>45989</v>
      </c>
      <c r="B373" s="2">
        <f t="shared" si="41"/>
        <v>3026</v>
      </c>
      <c r="C373" s="7">
        <f t="shared" si="43"/>
        <v>2</v>
      </c>
      <c r="D373" s="1">
        <v>0</v>
      </c>
      <c r="E373" s="17">
        <f>N("PAY-LM")+IF(WEEKDAY(A373)=Budget!$C$3,Budget!$B$3,0)</f>
        <v>1453</v>
      </c>
      <c r="F373" s="17">
        <f>N("Rent")-IF(DAY(A373)=Budget!$G$3,Budget!$F$3,0)</f>
        <v>0</v>
      </c>
      <c r="G373" s="17">
        <f>N("Car")-IF(DAY(A373)=Budget!$G$4,Budget!$F$4+Budget!$H$4,0)</f>
        <v>0</v>
      </c>
      <c r="H373" s="17">
        <f>N("Mom Rent")-IF(DAY(A373)=Budget!$G$5,Budget!$F$5,0)</f>
        <v>0</v>
      </c>
      <c r="I373" s="17">
        <f>N("AT&amp;T")-IF(DAY(A373)=Budget!$G$8,Budget!$F$8,0)</f>
        <v>0</v>
      </c>
      <c r="J373" s="17">
        <f>N("GA Power")-IF(DAY(A373)=Budget!$G$9,Budget!$F$9,0)</f>
        <v>0</v>
      </c>
      <c r="K373" s="17">
        <f>N("Haircut")-IF(DAY(A373)=Budget!$G$10,Budget!$F$10,0)</f>
        <v>0</v>
      </c>
      <c r="L373" s="17">
        <f>N("Groceries")-IF(DAY(A373)=Budget!$G$6,Budget!$F$6,0)</f>
        <v>0</v>
      </c>
      <c r="M373" s="17">
        <f>N("Savings")-IF(DAY(A373)=Budget!$G$7,Budget!$F$7,0)</f>
        <v>-1000</v>
      </c>
      <c r="N373" s="17">
        <f>N("Car Insurance")-COUNTIF(Budget!$G$14, A373)*Budget!$F$14</f>
        <v>0</v>
      </c>
      <c r="O373" s="17">
        <f>N("Phone Bill")-COUNTIF(Budget!$G$15, A373)*Budget!$F$15</f>
        <v>0</v>
      </c>
      <c r="Q373" s="17">
        <f>N("Spotify")-IF(AND(DAY($A373)=Budget!$M$3, MONTH($A373)=Budget!$L$3),Budget!$K$3,0)</f>
        <v>0</v>
      </c>
      <c r="R373" s="17">
        <f>N("Spotify")-IF(AND(DAY($A373)=Budget!$M$4, MONTH($A373)=Budget!$L$4),Budget!$K$4,0)</f>
        <v>0</v>
      </c>
      <c r="S373" s="17">
        <f>N("Spotify")-IF(AND(DAY($A373)=Budget!$M$5, MONTH($A373)=Budget!$L$5),Budget!$K$5,0)</f>
        <v>0</v>
      </c>
      <c r="T373" s="17">
        <f>N("Amazon Prime")-IF(DAY(A373)=Budget!$Q$3,Budget!$P$3,0)</f>
        <v>0</v>
      </c>
      <c r="U373" s="17">
        <f>N("Audible")-IF(DAY(A373)=Budget!$Q$12,Budget!$P$12,0)</f>
        <v>0</v>
      </c>
      <c r="V373" s="17">
        <f>N("Crunchyroll")-IF(DAY(A373)=Budget!$Q$5,Budget!$P$5,0)</f>
        <v>0</v>
      </c>
      <c r="W373" s="17">
        <f>N("HBO Max")-IF(DAY(A373)=Budget!$Q$6,Budget!$P$6,0)</f>
        <v>0</v>
      </c>
      <c r="X373" s="17">
        <f>N("Netflix")-IF(DAY(A373)=Budget!$Q$7,Budget!$P$7,0)</f>
        <v>0</v>
      </c>
      <c r="Y373" s="17">
        <f>N("Spotify")-IF(DAY(A373)=Budget!$Q$8,Budget!$P$8,0)</f>
        <v>-150</v>
      </c>
      <c r="Z373" s="17">
        <f>N("Truebill")-IF(DAY(A373)=Budget!$Q$9,Budget!$P$9,0)</f>
        <v>0</v>
      </c>
      <c r="AA373" s="6">
        <f t="shared" si="40"/>
        <v>303</v>
      </c>
    </row>
    <row r="374" spans="1:30" x14ac:dyDescent="0.3">
      <c r="A374" s="4">
        <f t="shared" si="42"/>
        <v>45990</v>
      </c>
      <c r="B374" s="2">
        <v>3883.81</v>
      </c>
      <c r="C374" s="7">
        <f>IF(B374&gt;B373,2,IF(B374=B373, 1,0))</f>
        <v>2</v>
      </c>
      <c r="D374" s="1">
        <v>0</v>
      </c>
      <c r="E374" s="17">
        <f>N("PAY-LM")+IF(WEEKDAY(A374)=Budget!$C$3,Budget!$B$3,0)</f>
        <v>0</v>
      </c>
      <c r="F374" s="17">
        <f>N("Rent")-IF(DAY(A374)=Budget!$G$3,Budget!$F$3,0)</f>
        <v>0</v>
      </c>
      <c r="G374" s="17">
        <f>N("Car")-IF(DAY(A374)=Budget!$G$4,Budget!$F$4+Budget!$H$4,0)</f>
        <v>0</v>
      </c>
      <c r="H374" s="17">
        <f>N("Mom Rent")-IF(DAY(A374)=Budget!$G$5,Budget!$F$5,0)</f>
        <v>0</v>
      </c>
      <c r="I374" s="17">
        <f>N("AT&amp;T")-IF(DAY(A374)=Budget!$G$8,Budget!$F$8,0)</f>
        <v>0</v>
      </c>
      <c r="J374" s="17">
        <f>N("GA Power")-IF(DAY(A374)=Budget!$G$9,Budget!$F$9,0)</f>
        <v>0</v>
      </c>
      <c r="K374" s="17">
        <f>N("Haircut")-IF(DAY(A374)=Budget!$G$10,Budget!$F$10,0)</f>
        <v>0</v>
      </c>
      <c r="L374" s="17">
        <f>N("Groceries")-IF(DAY(A374)=Budget!$G$6,Budget!$F$6,0)</f>
        <v>0</v>
      </c>
      <c r="M374" s="17">
        <f>N("Savings")-IF(DAY(A374)=Budget!$G$7,Budget!$F$7,0)</f>
        <v>0</v>
      </c>
      <c r="N374" s="17">
        <f>N("Car Insurance")-COUNTIF(Budget!$G$14, A374)*Budget!$F$14</f>
        <v>0</v>
      </c>
      <c r="O374" s="17">
        <f>N("Phone Bill")-COUNTIF(Budget!$G$15, A374)*Budget!$F$15</f>
        <v>0</v>
      </c>
      <c r="Q374" s="17">
        <f>N("Spotify")-IF(AND(DAY($A374)=Budget!$M$3, MONTH($A374)=Budget!$L$3),Budget!$K$3,0)</f>
        <v>0</v>
      </c>
      <c r="R374" s="17">
        <f>N("Spotify")-IF(AND(DAY($A374)=Budget!$M$4, MONTH($A374)=Budget!$L$4),Budget!$K$4,0)</f>
        <v>0</v>
      </c>
      <c r="S374" s="17">
        <f>N("Spotify")-IF(AND(DAY($A374)=Budget!$M$5, MONTH($A374)=Budget!$L$5),Budget!$K$5,0)</f>
        <v>0</v>
      </c>
      <c r="T374" s="17">
        <f>N("Amazon Prime")-IF(DAY(A374)=Budget!$Q$3,Budget!$P$3,0)</f>
        <v>0</v>
      </c>
      <c r="U374" s="17">
        <f>N("Audible")-IF(DAY(A374)=Budget!$Q$12,Budget!$P$12,0)</f>
        <v>0</v>
      </c>
      <c r="V374" s="17">
        <f>N("Crunchyroll")-IF(DAY(A374)=Budget!$Q$5,Budget!$P$5,0)</f>
        <v>-24.6</v>
      </c>
      <c r="W374" s="17">
        <f>N("HBO Max")-IF(DAY(A374)=Budget!$Q$6,Budget!$P$6,0)</f>
        <v>0</v>
      </c>
      <c r="X374" s="17">
        <f>N("Netflix")-IF(DAY(A374)=Budget!$Q$7,Budget!$P$7,0)</f>
        <v>0</v>
      </c>
      <c r="Y374" s="17">
        <f>N("Spotify")-IF(DAY(A374)=Budget!$Q$8,Budget!$P$8,0)</f>
        <v>0</v>
      </c>
      <c r="Z374" s="17">
        <f>N("Truebill")-IF(DAY(A374)=Budget!$Q$9,Budget!$P$9,0)</f>
        <v>0</v>
      </c>
      <c r="AA374" s="6">
        <f t="shared" si="40"/>
        <v>-24.6</v>
      </c>
    </row>
    <row r="375" spans="1:30" x14ac:dyDescent="0.3">
      <c r="A375" s="4">
        <f t="shared" si="42"/>
        <v>45991</v>
      </c>
      <c r="B375" s="2">
        <f t="shared" si="41"/>
        <v>3883.81</v>
      </c>
      <c r="C375" s="7">
        <f>IF(B375&gt;B374,2,IF(B375=B374, 1,0))</f>
        <v>1</v>
      </c>
      <c r="D375" s="1">
        <v>0</v>
      </c>
      <c r="E375" s="17">
        <f>N("PAY-LM")+IF(WEEKDAY(A375)=Budget!$C$3,Budget!$B$3,0)</f>
        <v>0</v>
      </c>
      <c r="F375" s="17">
        <f>N("Rent")-IF(DAY(A375)=Budget!$G$3,Budget!$F$3,0)</f>
        <v>0</v>
      </c>
      <c r="G375" s="17">
        <f>N("Car")-IF(DAY(A375)=Budget!$G$4,Budget!$F$4+Budget!$H$4,0)</f>
        <v>0</v>
      </c>
      <c r="H375" s="17">
        <f>N("Mom Rent")-IF(DAY(A375)=Budget!$G$5,Budget!$F$5,0)</f>
        <v>0</v>
      </c>
      <c r="I375" s="17">
        <f>N("AT&amp;T")-IF(DAY(A375)=Budget!$G$8,Budget!$F$8,0)</f>
        <v>0</v>
      </c>
      <c r="J375" s="17">
        <f>N("GA Power")-IF(DAY(A375)=Budget!$G$9,Budget!$F$9,0)</f>
        <v>0</v>
      </c>
      <c r="K375" s="17">
        <f>N("Haircut")-IF(DAY(A375)=Budget!$G$10,Budget!$F$10,0)</f>
        <v>0</v>
      </c>
      <c r="L375" s="17">
        <f>N("Groceries")-IF(DAY(A375)=Budget!$G$6,Budget!$F$6,0)</f>
        <v>0</v>
      </c>
      <c r="M375" s="17">
        <f>N("Savings")-IF(DAY(A375)=Budget!$G$7,Budget!$F$7,0)</f>
        <v>0</v>
      </c>
      <c r="N375" s="17">
        <f>N("Car Insurance")-COUNTIF(Budget!$G$14, A375)*Budget!$F$14</f>
        <v>0</v>
      </c>
      <c r="O375" s="17">
        <f>N("Phone Bill")-COUNTIF(Budget!$G$15, A375)*Budget!$F$15</f>
        <v>0</v>
      </c>
      <c r="Q375" s="17">
        <f>N("Spotify")-IF(AND(DAY($A375)=Budget!$M$3, MONTH($A375)=Budget!$L$3),Budget!$K$3,0)</f>
        <v>0</v>
      </c>
      <c r="R375" s="17">
        <f>N("Spotify")-IF(AND(DAY($A375)=Budget!$M$4, MONTH($A375)=Budget!$L$4),Budget!$K$4,0)</f>
        <v>0</v>
      </c>
      <c r="S375" s="17">
        <f>N("Spotify")-IF(AND(DAY($A375)=Budget!$M$5, MONTH($A375)=Budget!$L$5),Budget!$K$5,0)</f>
        <v>0</v>
      </c>
      <c r="T375" s="17">
        <f>N("Amazon Prime")-IF(DAY(A375)=Budget!$Q$3,Budget!$P$3,0)</f>
        <v>0</v>
      </c>
      <c r="U375" s="17">
        <f>N("Audible")-IF(DAY(A375)=Budget!$Q$12,Budget!$P$12,0)</f>
        <v>0</v>
      </c>
      <c r="V375" s="17">
        <f>N("Crunchyroll")-IF(DAY(A375)=Budget!$Q$5,Budget!$P$5,0)</f>
        <v>0</v>
      </c>
      <c r="W375" s="17">
        <f>N("HBO Max")-IF(DAY(A375)=Budget!$Q$6,Budget!$P$6,0)</f>
        <v>0</v>
      </c>
      <c r="X375" s="17">
        <f>N("Netflix")-IF(DAY(A375)=Budget!$Q$7,Budget!$P$7,0)</f>
        <v>0</v>
      </c>
      <c r="Y375" s="17">
        <f>N("Spotify")-IF(DAY(A375)=Budget!$Q$8,Budget!$P$8,0)</f>
        <v>0</v>
      </c>
      <c r="Z375" s="17">
        <f>N("Truebill")-IF(DAY(A375)=Budget!$Q$9,Budget!$P$9,0)</f>
        <v>0</v>
      </c>
      <c r="AA375" s="6">
        <f t="shared" si="40"/>
        <v>0</v>
      </c>
    </row>
    <row r="378" spans="1:30" x14ac:dyDescent="0.3">
      <c r="D378" s="40" t="s">
        <v>17</v>
      </c>
      <c r="E378" s="41" t="s">
        <v>15</v>
      </c>
      <c r="F378" s="41"/>
      <c r="G378" s="41"/>
      <c r="H378" s="41"/>
      <c r="I378" s="41"/>
      <c r="J378" s="41"/>
      <c r="K378" s="41"/>
      <c r="L378" s="41"/>
      <c r="M378" s="41"/>
      <c r="N378" s="42" t="str">
        <f>Budget!$E$12</f>
        <v>Annual Expenses</v>
      </c>
      <c r="O378" s="42"/>
      <c r="Q378" s="43" t="s">
        <v>36</v>
      </c>
      <c r="R378" s="43"/>
      <c r="S378" s="43"/>
      <c r="T378" s="41" t="s">
        <v>8</v>
      </c>
      <c r="U378" s="41"/>
      <c r="V378" s="41"/>
      <c r="W378" s="41"/>
      <c r="X378" s="41"/>
      <c r="Y378" s="41"/>
      <c r="Z378" s="41"/>
      <c r="AA378" s="10" t="s">
        <v>16</v>
      </c>
      <c r="AC378" s="6">
        <f>SUMIF(D380:Z409,"&lt;0")</f>
        <v>-6247.0300000000007</v>
      </c>
      <c r="AD378" s="6">
        <f>SUM(E380:E409)</f>
        <v>5812</v>
      </c>
    </row>
    <row r="379" spans="1:30" x14ac:dyDescent="0.3">
      <c r="A379" s="39">
        <f>EDATE(A345,1)</f>
        <v>45992</v>
      </c>
      <c r="B379" s="39"/>
      <c r="D379" s="40"/>
      <c r="E379" s="18" t="str">
        <f>Budget!$A$3</f>
        <v>PAY-LM</v>
      </c>
      <c r="F379" t="str">
        <f>Budget!$E$3</f>
        <v>Rent</v>
      </c>
      <c r="G379" t="str">
        <f>Budget!$E$4</f>
        <v>Car</v>
      </c>
      <c r="H379" t="str">
        <f>Budget!$E$5</f>
        <v>Mom Rent</v>
      </c>
      <c r="I379" t="str">
        <f>Budget!$E$8</f>
        <v>AT&amp;T</v>
      </c>
      <c r="J379" t="str">
        <f>Budget!$E$9</f>
        <v>GA Power</v>
      </c>
      <c r="K379" t="str">
        <f>Budget!$E$10</f>
        <v>TH</v>
      </c>
      <c r="L379" t="str">
        <f>Budget!$E$6</f>
        <v>Groceries</v>
      </c>
      <c r="M379" s="16" t="str">
        <f>Budget!$E$7</f>
        <v>Savings</v>
      </c>
      <c r="N379" t="str">
        <f>Budget!$E$14</f>
        <v>Car Insurance</v>
      </c>
      <c r="O379" t="str">
        <f>Budget!$E$15</f>
        <v>Phone Bill</v>
      </c>
      <c r="Q379" t="str">
        <f>Budget!$J$3</f>
        <v>Capital One</v>
      </c>
      <c r="R379" t="str">
        <f>Budget!$J$4</f>
        <v>Chase</v>
      </c>
      <c r="S379" t="str">
        <f>Budget!$J$5</f>
        <v>NFCU</v>
      </c>
      <c r="T379" t="str">
        <f>Budget!$O$3</f>
        <v>Amazon Prime</v>
      </c>
      <c r="U379" t="str">
        <f>Budget!$O$12</f>
        <v>Audible</v>
      </c>
      <c r="V379" t="str">
        <f>Budget!$O$5</f>
        <v>Netflix</v>
      </c>
      <c r="W379" t="str">
        <f>Budget!$O$6</f>
        <v>Spotify</v>
      </c>
      <c r="X379" t="str">
        <f>Budget!$O$7</f>
        <v>Rocket Money</v>
      </c>
      <c r="Y379" t="str">
        <f>Budget!$O$8</f>
        <v>Little4Much</v>
      </c>
      <c r="Z379" t="str">
        <f>Budget!$O$9</f>
        <v>None</v>
      </c>
      <c r="AA379" s="10"/>
      <c r="AC379" s="3">
        <f>AD378+AC378</f>
        <v>-435.03000000000065</v>
      </c>
    </row>
    <row r="380" spans="1:30" x14ac:dyDescent="0.3">
      <c r="A380" s="4">
        <f>A379</f>
        <v>45992</v>
      </c>
      <c r="B380" s="2">
        <f>B375+AA380</f>
        <v>2150.81</v>
      </c>
      <c r="C380" s="7">
        <f>IF(B380&gt;B375,2,IF(B380=B375, 1,0))</f>
        <v>0</v>
      </c>
      <c r="D380" s="1">
        <v>0</v>
      </c>
      <c r="E380" s="17">
        <f>N("PAY-LM")+IF(WEEKDAY(A380)=Budget!$C$3,Budget!$B$3,0)</f>
        <v>0</v>
      </c>
      <c r="F380" s="17">
        <f>N("Rent")-IF(DAY(A380)=Budget!$G$3,Budget!$F$3,0)</f>
        <v>-1733</v>
      </c>
      <c r="G380" s="17">
        <f>N("Car")-IF(DAY(A380)=Budget!$G$4,Budget!$F$4+Budget!$H$4,0)</f>
        <v>0</v>
      </c>
      <c r="H380" s="17">
        <f>N("Mom Rent")-IF(DAY(A380)=Budget!$G$5,Budget!$F$5,0)</f>
        <v>0</v>
      </c>
      <c r="I380" s="17">
        <f>N("AT&amp;T")-IF(DAY(A380)=Budget!$G$8,Budget!$F$8,0)</f>
        <v>0</v>
      </c>
      <c r="J380" s="17">
        <f>N("GA Power")-IF(DAY(A380)=Budget!$G$9,Budget!$F$9,0)</f>
        <v>0</v>
      </c>
      <c r="K380" s="17">
        <f>N("Haircut")-IF(DAY(A380)=Budget!$G$10,Budget!$F$10,0)</f>
        <v>0</v>
      </c>
      <c r="L380" s="17">
        <f>N("Groceries")-IF(DAY(A380)=Budget!$G$6,Budget!$F$6,0)</f>
        <v>0</v>
      </c>
      <c r="M380" s="17">
        <f>N("Savings")-IF(DAY(A380)=Budget!$G$7,Budget!$F$7,0)</f>
        <v>0</v>
      </c>
      <c r="N380" s="17">
        <f>N("Car Insurance")-COUNTIF(Budget!$G$14, A380)*Budget!$F$14</f>
        <v>0</v>
      </c>
      <c r="O380" s="17">
        <f>N("Phone Bill")-COUNTIF(Budget!$G$15, A380)*Budget!$F$15</f>
        <v>0</v>
      </c>
      <c r="Q380" s="17">
        <f>N("Spotify")-IF(AND(DAY($A380)=Budget!$M$3, MONTH($A380)=Budget!$L$3),Budget!$K$3,0)</f>
        <v>0</v>
      </c>
      <c r="R380" s="17">
        <f>N("Spotify")-IF(AND(DAY($A380)=Budget!$M$4, MONTH($A380)=Budget!$L$4),Budget!$K$4,0)</f>
        <v>0</v>
      </c>
      <c r="S380" s="17">
        <f>N("Spotify")-IF(AND(DAY($A380)=Budget!$M$5, MONTH($A380)=Budget!$L$5),Budget!$K$5,0)</f>
        <v>0</v>
      </c>
      <c r="T380" s="17">
        <f>N("Amazon Prime")-IF(DAY(A380)=Budget!$Q$3,Budget!$P$3,0)</f>
        <v>0</v>
      </c>
      <c r="U380" s="17">
        <f>N("Audible")-IF(DAY(A380)=Budget!$Q$12,Budget!$P$12,0)</f>
        <v>0</v>
      </c>
      <c r="V380" s="17">
        <f>N("Crunchyroll")-IF(DAY(A380)=Budget!$Q$5,Budget!$P$5,0)</f>
        <v>0</v>
      </c>
      <c r="W380" s="17">
        <f>N("HBO Max")-IF(DAY(A380)=Budget!$Q$6,Budget!$P$6,0)</f>
        <v>0</v>
      </c>
      <c r="X380" s="17">
        <f>N("Netflix")-IF(DAY(A380)=Budget!$Q$7,Budget!$P$7,0)</f>
        <v>0</v>
      </c>
      <c r="Y380" s="17">
        <f>N("Spotify")-IF(DAY(A380)=Budget!$Q$8,Budget!$P$8,0)</f>
        <v>0</v>
      </c>
      <c r="Z380" s="17">
        <f>N("Truebill")-IF(DAY(A380)=Budget!$Q$9,Budget!$P$9,0)</f>
        <v>0</v>
      </c>
      <c r="AA380" s="6">
        <f t="shared" ref="AA380:AA410" si="44">SUM(D380:Z380)</f>
        <v>-1733</v>
      </c>
    </row>
    <row r="381" spans="1:30" x14ac:dyDescent="0.3">
      <c r="A381" s="4">
        <f>A380+1</f>
        <v>45993</v>
      </c>
      <c r="B381" s="2">
        <f t="shared" ref="B381:B410" si="45">B380+AA381</f>
        <v>1347.46</v>
      </c>
      <c r="C381" s="7">
        <f>IF(B381&gt;B380,2,IF(B381=B380, 1,0))</f>
        <v>0</v>
      </c>
      <c r="D381" s="1">
        <v>0</v>
      </c>
      <c r="E381" s="17">
        <f>N("PAY-LM")+IF(WEEKDAY(A381)=Budget!$C$3,Budget!$B$3,0)</f>
        <v>0</v>
      </c>
      <c r="F381" s="17">
        <f>N("Rent")-IF(DAY(A381)=Budget!$G$3,Budget!$F$3,0)</f>
        <v>0</v>
      </c>
      <c r="G381" s="17">
        <f>N("Car")-IF(DAY(A381)=Budget!$G$4,Budget!$F$4+Budget!$H$4,0)</f>
        <v>-503.35</v>
      </c>
      <c r="H381" s="17">
        <f>N("Mom Rent")-IF(DAY(A381)=Budget!$G$5,Budget!$F$5,0)</f>
        <v>0</v>
      </c>
      <c r="I381" s="17">
        <f>N("AT&amp;T")-IF(DAY(A381)=Budget!$G$8,Budget!$F$8,0)</f>
        <v>0</v>
      </c>
      <c r="J381" s="17">
        <f>N("GA Power")-IF(DAY(A381)=Budget!$G$9,Budget!$F$9,0)</f>
        <v>0</v>
      </c>
      <c r="K381" s="17">
        <f>N("Haircut")-IF(DAY(A381)=Budget!$G$10,Budget!$F$10,0)</f>
        <v>0</v>
      </c>
      <c r="L381" s="17">
        <f>N("Groceries")-IF(DAY(A381)=Budget!$G$6,Budget!$F$6,0)</f>
        <v>-300</v>
      </c>
      <c r="M381" s="17">
        <f>N("Savings")-IF(DAY(A381)=Budget!$G$7,Budget!$F$7,0)</f>
        <v>0</v>
      </c>
      <c r="N381" s="17">
        <f>N("Car Insurance")-COUNTIF(Budget!$G$14, A381)*Budget!$F$14</f>
        <v>0</v>
      </c>
      <c r="O381" s="17">
        <f>N("Phone Bill")-COUNTIF(Budget!$G$15, A381)*Budget!$F$15</f>
        <v>0</v>
      </c>
      <c r="Q381" s="17">
        <f>N("Spotify")-IF(AND(DAY($A381)=Budget!$M$3, MONTH($A381)=Budget!$L$3),Budget!$K$3,0)</f>
        <v>0</v>
      </c>
      <c r="R381" s="17">
        <f>N("Spotify")-IF(AND(DAY($A381)=Budget!$M$4, MONTH($A381)=Budget!$L$4),Budget!$K$4,0)</f>
        <v>0</v>
      </c>
      <c r="S381" s="17">
        <f>N("Spotify")-IF(AND(DAY($A381)=Budget!$M$5, MONTH($A381)=Budget!$L$5),Budget!$K$5,0)</f>
        <v>0</v>
      </c>
      <c r="T381" s="17">
        <f>N("Amazon Prime")-IF(DAY(A381)=Budget!$Q$3,Budget!$P$3,0)</f>
        <v>0</v>
      </c>
      <c r="U381" s="17">
        <f>N("Audible")-IF(DAY(A381)=Budget!$Q$12,Budget!$P$12,0)</f>
        <v>0</v>
      </c>
      <c r="V381" s="17">
        <f>N("Crunchyroll")-IF(DAY(A381)=Budget!$Q$5,Budget!$P$5,0)</f>
        <v>0</v>
      </c>
      <c r="W381" s="17">
        <f>N("HBO Max")-IF(DAY(A381)=Budget!$Q$6,Budget!$P$6,0)</f>
        <v>0</v>
      </c>
      <c r="X381" s="17">
        <f>N("Netflix")-IF(DAY(A381)=Budget!$Q$7,Budget!$P$7,0)</f>
        <v>0</v>
      </c>
      <c r="Y381" s="17">
        <f>N("Spotify")-IF(DAY(A381)=Budget!$Q$8,Budget!$P$8,0)</f>
        <v>0</v>
      </c>
      <c r="Z381" s="17">
        <f>N("Truebill")-IF(DAY(A381)=Budget!$Q$9,Budget!$P$9,0)</f>
        <v>0</v>
      </c>
      <c r="AA381" s="6">
        <f t="shared" si="44"/>
        <v>-803.35</v>
      </c>
    </row>
    <row r="382" spans="1:30" x14ac:dyDescent="0.3">
      <c r="A382" s="4">
        <f t="shared" ref="A382:A410" si="46">A381+1</f>
        <v>45994</v>
      </c>
      <c r="B382" s="2">
        <f t="shared" si="45"/>
        <v>2947.46</v>
      </c>
      <c r="C382" s="7">
        <f t="shared" ref="C382:C407" si="47">IF(B382&gt;B381,2,IF(B382=B381, 1,0))</f>
        <v>2</v>
      </c>
      <c r="D382" s="1">
        <v>1600</v>
      </c>
      <c r="E382" s="17">
        <f>N("PAY-LM")+IF(WEEKDAY(A382)=Budget!$C$3,Budget!$B$3,0)</f>
        <v>0</v>
      </c>
      <c r="F382" s="17">
        <f>N("Rent")-IF(DAY(A382)=Budget!$G$3,Budget!$F$3,0)</f>
        <v>0</v>
      </c>
      <c r="G382" s="17">
        <f>N("Car")-IF(DAY(A382)=Budget!$G$4,Budget!$F$4+Budget!$H$4,0)</f>
        <v>0</v>
      </c>
      <c r="H382" s="17">
        <f>N("Mom Rent")-IF(DAY(A382)=Budget!$G$5,Budget!$F$5,0)</f>
        <v>0</v>
      </c>
      <c r="I382" s="17">
        <f>N("AT&amp;T")-IF(DAY(A382)=Budget!$G$8,Budget!$F$8,0)</f>
        <v>0</v>
      </c>
      <c r="J382" s="17">
        <f>N("GA Power")-IF(DAY(A382)=Budget!$G$9,Budget!$F$9,0)</f>
        <v>0</v>
      </c>
      <c r="K382" s="17">
        <f>N("Haircut")-IF(DAY(A382)=Budget!$G$10,Budget!$F$10,0)</f>
        <v>0</v>
      </c>
      <c r="L382" s="17">
        <f>N("Groceries")-IF(DAY(A382)=Budget!$G$6,Budget!$F$6,0)</f>
        <v>0</v>
      </c>
      <c r="M382" s="17">
        <f>N("Savings")-IF(DAY(A382)=Budget!$G$7,Budget!$F$7,0)</f>
        <v>0</v>
      </c>
      <c r="N382" s="17">
        <f>N("Car Insurance")-COUNTIF(Budget!$G$14, A382)*Budget!$F$14</f>
        <v>0</v>
      </c>
      <c r="O382" s="17">
        <f>N("Phone Bill")-COUNTIF(Budget!$G$15, A382)*Budget!$F$15</f>
        <v>0</v>
      </c>
      <c r="Q382" s="17">
        <f>N("Spotify")-IF(AND(DAY($A382)=Budget!$M$3, MONTH($A382)=Budget!$L$3),Budget!$K$3,0)</f>
        <v>0</v>
      </c>
      <c r="R382" s="17">
        <f>N("Spotify")-IF(AND(DAY($A382)=Budget!$M$4, MONTH($A382)=Budget!$L$4),Budget!$K$4,0)</f>
        <v>0</v>
      </c>
      <c r="S382" s="17">
        <f>N("Spotify")-IF(AND(DAY($A382)=Budget!$M$5, MONTH($A382)=Budget!$L$5),Budget!$K$5,0)</f>
        <v>0</v>
      </c>
      <c r="T382" s="17">
        <f>N("Amazon Prime")-IF(DAY(A382)=Budget!$Q$3,Budget!$P$3,0)</f>
        <v>0</v>
      </c>
      <c r="U382" s="17">
        <f>N("Audible")-IF(DAY(A382)=Budget!$Q$12,Budget!$P$12,0)</f>
        <v>0</v>
      </c>
      <c r="V382" s="17">
        <f>N("Crunchyroll")-IF(DAY(A382)=Budget!$Q$5,Budget!$P$5,0)</f>
        <v>0</v>
      </c>
      <c r="W382" s="17">
        <f>N("HBO Max")-IF(DAY(A382)=Budget!$Q$6,Budget!$P$6,0)</f>
        <v>0</v>
      </c>
      <c r="X382" s="17">
        <f>N("Netflix")-IF(DAY(A382)=Budget!$Q$7,Budget!$P$7,0)</f>
        <v>0</v>
      </c>
      <c r="Y382" s="17">
        <f>N("Spotify")-IF(DAY(A382)=Budget!$Q$8,Budget!$P$8,0)</f>
        <v>0</v>
      </c>
      <c r="Z382" s="17">
        <f>N("Truebill")-IF(DAY(A382)=Budget!$Q$9,Budget!$P$9,0)</f>
        <v>0</v>
      </c>
      <c r="AA382" s="6">
        <f t="shared" si="44"/>
        <v>1600</v>
      </c>
    </row>
    <row r="383" spans="1:30" x14ac:dyDescent="0.3">
      <c r="A383" s="4">
        <f t="shared" si="46"/>
        <v>45995</v>
      </c>
      <c r="B383" s="2">
        <f t="shared" si="45"/>
        <v>2541.46</v>
      </c>
      <c r="C383" s="7">
        <f t="shared" si="47"/>
        <v>0</v>
      </c>
      <c r="D383" s="1">
        <v>0</v>
      </c>
      <c r="E383" s="17">
        <f>N("PAY-LM")+IF(WEEKDAY(A383)=Budget!$C$3,Budget!$B$3,0)</f>
        <v>0</v>
      </c>
      <c r="F383" s="17">
        <f>N("Rent")-IF(DAY(A383)=Budget!$G$3,Budget!$F$3,0)</f>
        <v>0</v>
      </c>
      <c r="G383" s="17">
        <f>N("Car")-IF(DAY(A383)=Budget!$G$4,Budget!$F$4+Budget!$H$4,0)</f>
        <v>0</v>
      </c>
      <c r="H383" s="17">
        <f>N("Mom Rent")-IF(DAY(A383)=Budget!$G$5,Budget!$F$5,0)</f>
        <v>0</v>
      </c>
      <c r="I383" s="17">
        <f>N("AT&amp;T")-IF(DAY(A383)=Budget!$G$8,Budget!$F$8,0)</f>
        <v>0</v>
      </c>
      <c r="J383" s="17">
        <f>N("GA Power")-IF(DAY(A383)=Budget!$G$9,Budget!$F$9,0)</f>
        <v>0</v>
      </c>
      <c r="K383" s="17">
        <f>N("Haircut")-IF(DAY(A383)=Budget!$G$10,Budget!$F$10,0)</f>
        <v>0</v>
      </c>
      <c r="L383" s="17">
        <f>N("Groceries")-IF(DAY(A383)=Budget!$G$6,Budget!$F$6,0)</f>
        <v>0</v>
      </c>
      <c r="M383" s="17">
        <f>N("Savings")-IF(DAY(A383)=Budget!$G$7,Budget!$F$7,0)</f>
        <v>0</v>
      </c>
      <c r="N383" s="17">
        <f>N("Car Insurance")-COUNTIF(Budget!$G$14, A383)*Budget!$F$14</f>
        <v>0</v>
      </c>
      <c r="O383" s="17">
        <f>N("Phone Bill")-COUNTIF(Budget!$G$15, A383)*Budget!$F$15</f>
        <v>0</v>
      </c>
      <c r="Q383" s="17">
        <f>N("Spotify")-IF(AND(DAY($A383)=Budget!$M$3, MONTH($A383)=Budget!$L$3),Budget!$K$3,0)</f>
        <v>0</v>
      </c>
      <c r="R383" s="17">
        <f>N("Spotify")-IF(AND(DAY($A383)=Budget!$M$4, MONTH($A383)=Budget!$L$4),Budget!$K$4,0)</f>
        <v>-406</v>
      </c>
      <c r="S383" s="17">
        <f>N("Spotify")-IF(AND(DAY($A383)=Budget!$M$5, MONTH($A383)=Budget!$L$5),Budget!$K$5,0)</f>
        <v>0</v>
      </c>
      <c r="T383" s="17">
        <f>N("Amazon Prime")-IF(DAY(A383)=Budget!$Q$3,Budget!$P$3,0)</f>
        <v>0</v>
      </c>
      <c r="U383" s="17">
        <f>N("Audible")-IF(DAY(A383)=Budget!$Q$12,Budget!$P$12,0)</f>
        <v>0</v>
      </c>
      <c r="V383" s="17">
        <f>N("Crunchyroll")-IF(DAY(A383)=Budget!$Q$5,Budget!$P$5,0)</f>
        <v>0</v>
      </c>
      <c r="W383" s="17">
        <f>N("HBO Max")-IF(DAY(A383)=Budget!$Q$6,Budget!$P$6,0)</f>
        <v>0</v>
      </c>
      <c r="X383" s="17">
        <f>N("Netflix")-IF(DAY(A383)=Budget!$Q$7,Budget!$P$7,0)</f>
        <v>0</v>
      </c>
      <c r="Y383" s="17">
        <f>N("Spotify")-IF(DAY(A383)=Budget!$Q$8,Budget!$P$8,0)</f>
        <v>0</v>
      </c>
      <c r="Z383" s="17">
        <f>N("Truebill")-IF(DAY(A383)=Budget!$Q$9,Budget!$P$9,0)</f>
        <v>0</v>
      </c>
      <c r="AA383" s="6">
        <f t="shared" si="44"/>
        <v>-406</v>
      </c>
    </row>
    <row r="384" spans="1:30" x14ac:dyDescent="0.3">
      <c r="A384" s="4">
        <f t="shared" si="46"/>
        <v>45996</v>
      </c>
      <c r="B384" s="2">
        <f t="shared" si="45"/>
        <v>3744.46</v>
      </c>
      <c r="C384" s="7">
        <f t="shared" si="47"/>
        <v>2</v>
      </c>
      <c r="D384" s="1">
        <v>0</v>
      </c>
      <c r="E384" s="17">
        <f>N("PAY-LM")+IF(WEEKDAY(A384)=Budget!$C$3,Budget!$B$3,0)</f>
        <v>1453</v>
      </c>
      <c r="F384" s="17">
        <f>N("Rent")-IF(DAY(A384)=Budget!$G$3,Budget!$F$3,0)</f>
        <v>0</v>
      </c>
      <c r="G384" s="17">
        <f>N("Car")-IF(DAY(A384)=Budget!$G$4,Budget!$F$4+Budget!$H$4,0)</f>
        <v>0</v>
      </c>
      <c r="H384" s="17">
        <f>N("Mom Rent")-IF(DAY(A384)=Budget!$G$5,Budget!$F$5,0)</f>
        <v>0</v>
      </c>
      <c r="I384" s="17">
        <f>N("AT&amp;T")-IF(DAY(A384)=Budget!$G$8,Budget!$F$8,0)</f>
        <v>0</v>
      </c>
      <c r="J384" s="17">
        <f>-250</f>
        <v>-250</v>
      </c>
      <c r="K384" s="17">
        <f>N("Haircut")-IF(DAY(A384)=Budget!$G$10,Budget!$F$10,0)</f>
        <v>0</v>
      </c>
      <c r="L384" s="17">
        <f>N("Groceries")-IF(DAY(A384)=Budget!$G$6,Budget!$F$6,0)</f>
        <v>0</v>
      </c>
      <c r="M384" s="17">
        <f>N("Savings")-IF(DAY(A384)=Budget!$G$7,Budget!$F$7,0)</f>
        <v>0</v>
      </c>
      <c r="N384" s="17">
        <f>N("Car Insurance")-COUNTIF(Budget!$G$14, A384)*Budget!$F$14</f>
        <v>0</v>
      </c>
      <c r="O384" s="17">
        <f>N("Phone Bill")-COUNTIF(Budget!$G$15, A384)*Budget!$F$15</f>
        <v>0</v>
      </c>
      <c r="Q384" s="17">
        <f>N("Spotify")-IF(AND(DAY($A384)=Budget!$M$3, MONTH($A384)=Budget!$L$3),Budget!$K$3,0)</f>
        <v>0</v>
      </c>
      <c r="R384" s="17">
        <f>N("Spotify")-IF(AND(DAY($A384)=Budget!$M$4, MONTH($A384)=Budget!$L$4),Budget!$K$4,0)</f>
        <v>0</v>
      </c>
      <c r="S384" s="17">
        <f>N("Spotify")-IF(AND(DAY($A384)=Budget!$M$5, MONTH($A384)=Budget!$L$5),Budget!$K$5,0)</f>
        <v>0</v>
      </c>
      <c r="T384" s="17">
        <f>N("Amazon Prime")-IF(DAY(A384)=Budget!$Q$3,Budget!$P$3,0)</f>
        <v>0</v>
      </c>
      <c r="U384" s="17">
        <f>N("Audible")-IF(DAY(A384)=Budget!$Q$12,Budget!$P$12,0)</f>
        <v>0</v>
      </c>
      <c r="V384" s="17">
        <f>N("Crunchyroll")-IF(DAY(A384)=Budget!$Q$5,Budget!$P$5,0)</f>
        <v>0</v>
      </c>
      <c r="W384" s="17">
        <f>N("HBO Max")-IF(DAY(A384)=Budget!$Q$6,Budget!$P$6,0)</f>
        <v>0</v>
      </c>
      <c r="X384" s="17">
        <f>N("Netflix")-IF(DAY(A384)=Budget!$Q$7,Budget!$P$7,0)</f>
        <v>0</v>
      </c>
      <c r="Y384" s="17">
        <f>N("Spotify")-IF(DAY(A384)=Budget!$Q$8,Budget!$P$8,0)</f>
        <v>0</v>
      </c>
      <c r="Z384" s="17">
        <f>N("Truebill")-IF(DAY(A384)=Budget!$Q$9,Budget!$P$9,0)</f>
        <v>0</v>
      </c>
      <c r="AA384" s="6">
        <f t="shared" si="44"/>
        <v>1203</v>
      </c>
    </row>
    <row r="385" spans="1:27" x14ac:dyDescent="0.3">
      <c r="A385" s="4">
        <f t="shared" si="46"/>
        <v>45997</v>
      </c>
      <c r="B385" s="2">
        <f t="shared" si="45"/>
        <v>3672.46</v>
      </c>
      <c r="C385" s="7">
        <f t="shared" si="47"/>
        <v>0</v>
      </c>
      <c r="D385" s="1">
        <v>0</v>
      </c>
      <c r="E385" s="17">
        <f>N("PAY-LM")+IF(WEEKDAY(A385)=Budget!$C$3,Budget!$B$3,0)</f>
        <v>0</v>
      </c>
      <c r="F385" s="17">
        <f>N("Rent")-IF(DAY(A385)=Budget!$G$3,Budget!$F$3,0)</f>
        <v>0</v>
      </c>
      <c r="G385" s="17">
        <f>N("Car")-IF(DAY(A385)=Budget!$G$4,Budget!$F$4+Budget!$H$4,0)</f>
        <v>0</v>
      </c>
      <c r="H385" s="17">
        <f>N("Mom Rent")-IF(DAY(A385)=Budget!$G$5,Budget!$F$5,0)</f>
        <v>0</v>
      </c>
      <c r="I385" s="17">
        <f>N("AT&amp;T")-IF(DAY(A385)=Budget!$G$8,Budget!$F$8,0)</f>
        <v>0</v>
      </c>
      <c r="J385" s="17">
        <f>N("GA Power")-IF(DAY(A385)=Budget!$G$9,Budget!$F$9,0)</f>
        <v>0</v>
      </c>
      <c r="K385" s="17">
        <f>N("Haircut")-IF(DAY(A385)=Budget!$G$10,Budget!$F$10,0)</f>
        <v>0</v>
      </c>
      <c r="L385" s="17">
        <f>N("Groceries")-IF(DAY(A385)=Budget!$G$6,Budget!$F$6,0)</f>
        <v>0</v>
      </c>
      <c r="M385" s="17">
        <f>N("Savings")-IF(DAY(A385)=Budget!$G$7,Budget!$F$7,0)</f>
        <v>0</v>
      </c>
      <c r="N385" s="17">
        <f>N("Car Insurance")-COUNTIF(Budget!$G$14, A385)*Budget!$F$14</f>
        <v>0</v>
      </c>
      <c r="O385" s="17">
        <f>N("Phone Bill")-COUNTIF(Budget!$G$15, A385)*Budget!$F$15</f>
        <v>0</v>
      </c>
      <c r="Q385" s="17">
        <f>N("Spotify")-IF(AND(DAY($A385)=Budget!$M$3, MONTH($A385)=Budget!$L$3),Budget!$K$3,0)</f>
        <v>0</v>
      </c>
      <c r="R385" s="17">
        <f>N("Spotify")-IF(AND(DAY($A385)=Budget!$M$4, MONTH($A385)=Budget!$L$4),Budget!$K$4,0)</f>
        <v>0</v>
      </c>
      <c r="S385" s="17">
        <f>N("Spotify")-IF(AND(DAY($A385)=Budget!$M$5, MONTH($A385)=Budget!$L$5),Budget!$K$5,0)</f>
        <v>-72</v>
      </c>
      <c r="T385" s="17">
        <f>N("Amazon Prime")-IF(DAY(A385)=Budget!$Q$3,Budget!$P$3,0)</f>
        <v>0</v>
      </c>
      <c r="U385" s="17">
        <f>N("Audible")-IF(DAY(A385)=Budget!$Q$12,Budget!$P$12,0)</f>
        <v>0</v>
      </c>
      <c r="V385" s="17">
        <f>N("Crunchyroll")-IF(DAY(A385)=Budget!$Q$5,Budget!$P$5,0)</f>
        <v>0</v>
      </c>
      <c r="W385" s="17">
        <f>N("HBO Max")-IF(DAY(A385)=Budget!$Q$6,Budget!$P$6,0)</f>
        <v>0</v>
      </c>
      <c r="X385" s="17">
        <f>N("Netflix")-IF(DAY(A385)=Budget!$Q$7,Budget!$P$7,0)</f>
        <v>0</v>
      </c>
      <c r="Y385" s="17">
        <f>N("Spotify")-IF(DAY(A385)=Budget!$Q$8,Budget!$P$8,0)</f>
        <v>0</v>
      </c>
      <c r="Z385" s="17">
        <f>N("Truebill")-IF(DAY(A385)=Budget!$Q$9,Budget!$P$9,0)</f>
        <v>0</v>
      </c>
      <c r="AA385" s="6">
        <f t="shared" si="44"/>
        <v>-72</v>
      </c>
    </row>
    <row r="386" spans="1:27" x14ac:dyDescent="0.3">
      <c r="A386" s="4">
        <f t="shared" si="46"/>
        <v>45998</v>
      </c>
      <c r="B386" s="2">
        <f t="shared" si="45"/>
        <v>3204.85</v>
      </c>
      <c r="C386" s="7">
        <f t="shared" si="47"/>
        <v>0</v>
      </c>
      <c r="D386" s="1">
        <v>0</v>
      </c>
      <c r="E386" s="17">
        <f>N("PAY-LM")+IF(WEEKDAY(A386)=Budget!$C$3,Budget!$B$3,0)</f>
        <v>0</v>
      </c>
      <c r="F386" s="17">
        <f>N("Rent")-IF(DAY(A386)=Budget!$G$3,Budget!$F$3,0)</f>
        <v>0</v>
      </c>
      <c r="G386" s="17">
        <f>N("Car")-IF(DAY(A386)=Budget!$G$4,Budget!$F$4+Budget!$H$4,0)</f>
        <v>0</v>
      </c>
      <c r="H386" s="17">
        <f>N("Mom Rent")-IF(DAY(A386)=Budget!$G$5,Budget!$F$5,0)</f>
        <v>0</v>
      </c>
      <c r="I386" s="17">
        <f>N("AT&amp;T")-IF(DAY(A386)=Budget!$G$8,Budget!$F$8,0)</f>
        <v>0</v>
      </c>
      <c r="J386" s="17">
        <f>N("GA Power")-IF(DAY(A386)=Budget!$G$9,Budget!$F$9,0)</f>
        <v>0</v>
      </c>
      <c r="K386" s="17">
        <f>N("Haircut")-IF(DAY(A386)=Budget!$G$10,Budget!$F$10,0)</f>
        <v>0</v>
      </c>
      <c r="L386" s="17">
        <f>N("Groceries")-IF(DAY(A386)=Budget!$G$6,Budget!$F$6,0)</f>
        <v>0</v>
      </c>
      <c r="M386" s="17">
        <f>N("Savings")-IF(DAY(A386)=Budget!$G$7,Budget!$F$7,0)</f>
        <v>0</v>
      </c>
      <c r="N386" s="17">
        <f>N("Car Insurance")-COUNTIF(Budget!$G$14, A386)*Budget!$F$14</f>
        <v>0</v>
      </c>
      <c r="O386" s="17">
        <f>N("Phone Bill")-COUNTIF(Budget!$G$15, A386)*Budget!$F$15</f>
        <v>0</v>
      </c>
      <c r="Q386" s="17">
        <f>N("Spotify")-IF(AND(DAY($A386)=Budget!$M$3, MONTH($A386)=Budget!$L$3),Budget!$K$3,0)</f>
        <v>-467.61</v>
      </c>
      <c r="R386" s="17">
        <f>N("Spotify")-IF(AND(DAY($A386)=Budget!$M$4, MONTH($A386)=Budget!$L$4),Budget!$K$4,0)</f>
        <v>0</v>
      </c>
      <c r="S386" s="17">
        <f>N("Spotify")-IF(AND(DAY($A386)=Budget!$M$5, MONTH($A386)=Budget!$L$5),Budget!$K$5,0)</f>
        <v>0</v>
      </c>
      <c r="T386" s="17">
        <f>N("Amazon Prime")-IF(DAY(A386)=Budget!$Q$3,Budget!$P$3,0)</f>
        <v>0</v>
      </c>
      <c r="U386" s="17">
        <f>N("Audible")-IF(DAY(A386)=Budget!$Q$12,Budget!$P$12,0)</f>
        <v>0</v>
      </c>
      <c r="V386" s="17">
        <f>N("Crunchyroll")-IF(DAY(A386)=Budget!$Q$5,Budget!$P$5,0)</f>
        <v>0</v>
      </c>
      <c r="W386" s="17">
        <f>N("HBO Max")-IF(DAY(A386)=Budget!$Q$6,Budget!$P$6,0)</f>
        <v>0</v>
      </c>
      <c r="X386" s="17">
        <f>N("Netflix")-IF(DAY(A386)=Budget!$Q$7,Budget!$P$7,0)</f>
        <v>0</v>
      </c>
      <c r="Y386" s="17">
        <f>N("Spotify")-IF(DAY(A386)=Budget!$Q$8,Budget!$P$8,0)</f>
        <v>0</v>
      </c>
      <c r="Z386" s="17">
        <f>N("Truebill")-IF(DAY(A386)=Budget!$Q$9,Budget!$P$9,0)</f>
        <v>0</v>
      </c>
      <c r="AA386" s="6">
        <f t="shared" si="44"/>
        <v>-467.61</v>
      </c>
    </row>
    <row r="387" spans="1:27" x14ac:dyDescent="0.3">
      <c r="A387" s="4">
        <f t="shared" si="46"/>
        <v>45999</v>
      </c>
      <c r="B387" s="2">
        <v>2338.15</v>
      </c>
      <c r="C387" s="7">
        <f t="shared" si="47"/>
        <v>0</v>
      </c>
      <c r="D387" s="1">
        <v>0</v>
      </c>
      <c r="E387" s="17">
        <f>N("PAY-LM")+IF(WEEKDAY(A387)=Budget!$C$3,Budget!$B$3,0)</f>
        <v>0</v>
      </c>
      <c r="F387" s="17">
        <f>N("Rent")-IF(DAY(A387)=Budget!$G$3,Budget!$F$3,0)</f>
        <v>0</v>
      </c>
      <c r="G387" s="17">
        <f>N("Car")-IF(DAY(A387)=Budget!$G$4,Budget!$F$4+Budget!$H$4,0)</f>
        <v>0</v>
      </c>
      <c r="H387" s="17">
        <f>N("Mom Rent")-IF(DAY(A387)=Budget!$G$5,Budget!$F$5,0)</f>
        <v>0</v>
      </c>
      <c r="I387" s="17">
        <f>N("AT&amp;T")-IF(DAY(A387)=Budget!$G$8,Budget!$F$8,0)</f>
        <v>0</v>
      </c>
      <c r="J387" s="17">
        <f>N("GA Power")-IF(DAY(A387)=Budget!$G$9,Budget!$F$9,0)</f>
        <v>0</v>
      </c>
      <c r="K387" s="17">
        <f>N("Haircut")-IF(DAY(A387)=Budget!$G$10,Budget!$F$10,0)</f>
        <v>0</v>
      </c>
      <c r="L387" s="17">
        <f>N("Groceries")-IF(DAY(A387)=Budget!$G$6,Budget!$F$6,0)</f>
        <v>0</v>
      </c>
      <c r="M387" s="17">
        <f>N("Savings")-IF(DAY(A387)=Budget!$G$7,Budget!$F$7,0)</f>
        <v>0</v>
      </c>
      <c r="N387" s="17">
        <f>N("Car Insurance")-COUNTIF(Budget!$G$14, A387)*Budget!$F$14</f>
        <v>0</v>
      </c>
      <c r="O387" s="17">
        <f>N("Phone Bill")-COUNTIF(Budget!$G$15, A387)*Budget!$F$15</f>
        <v>0</v>
      </c>
      <c r="Q387" s="17">
        <f>N("Spotify")-IF(AND(DAY($A387)=Budget!$M$3, MONTH($A387)=Budget!$L$3),Budget!$K$3,0)</f>
        <v>0</v>
      </c>
      <c r="R387" s="17">
        <f>N("Spotify")-IF(AND(DAY($A387)=Budget!$M$4, MONTH($A387)=Budget!$L$4),Budget!$K$4,0)</f>
        <v>0</v>
      </c>
      <c r="S387" s="17">
        <f>N("Spotify")-IF(AND(DAY($A387)=Budget!$M$5, MONTH($A387)=Budget!$L$5),Budget!$K$5,0)</f>
        <v>0</v>
      </c>
      <c r="T387" s="17">
        <f>N("Amazon Prime")-IF(DAY(A387)=Budget!$Q$3,Budget!$P$3,0)</f>
        <v>-7.48</v>
      </c>
      <c r="U387" s="17">
        <f>N("Audible")-IF(DAY(A387)=Budget!$Q$12,Budget!$P$12,0)</f>
        <v>0</v>
      </c>
      <c r="V387" s="17">
        <f>N("Crunchyroll")-IF(DAY(A387)=Budget!$Q$5,Budget!$P$5,0)</f>
        <v>0</v>
      </c>
      <c r="W387" s="17">
        <f>N("HBO Max")-IF(DAY(A387)=Budget!$Q$6,Budget!$P$6,0)</f>
        <v>-11.99</v>
      </c>
      <c r="X387" s="17">
        <f>N("Netflix")-IF(DAY(A387)=Budget!$Q$7,Budget!$P$7,0)</f>
        <v>0</v>
      </c>
      <c r="Y387" s="17">
        <f>N("Spotify")-IF(DAY(A387)=Budget!$Q$8,Budget!$P$8,0)</f>
        <v>0</v>
      </c>
      <c r="Z387" s="17">
        <f>N("Truebill")-IF(DAY(A387)=Budget!$Q$9,Budget!$P$9,0)</f>
        <v>0</v>
      </c>
      <c r="AA387" s="6">
        <f t="shared" si="44"/>
        <v>-19.47</v>
      </c>
    </row>
    <row r="388" spans="1:27" x14ac:dyDescent="0.3">
      <c r="A388" s="4">
        <f t="shared" si="46"/>
        <v>46000</v>
      </c>
      <c r="B388" s="2">
        <f t="shared" si="45"/>
        <v>2338.15</v>
      </c>
      <c r="C388" s="7">
        <f t="shared" si="47"/>
        <v>1</v>
      </c>
      <c r="D388" s="1">
        <v>0</v>
      </c>
      <c r="E388" s="17">
        <f>N("PAY-LM")+IF(WEEKDAY(A388)=Budget!$C$3,Budget!$B$3,0)</f>
        <v>0</v>
      </c>
      <c r="F388" s="17">
        <f>N("Rent")-IF(DAY(A388)=Budget!$G$3,Budget!$F$3,0)</f>
        <v>0</v>
      </c>
      <c r="G388" s="17">
        <f>N("Car")-IF(DAY(A388)=Budget!$G$4,Budget!$F$4+Budget!$H$4,0)</f>
        <v>0</v>
      </c>
      <c r="H388" s="17">
        <f>N("Mom Rent")-IF(DAY(A388)=Budget!$G$5,Budget!$F$5,0)</f>
        <v>0</v>
      </c>
      <c r="I388" s="17">
        <f>N("AT&amp;T")-IF(DAY(A388)=Budget!$G$8,Budget!$F$8,0)</f>
        <v>0</v>
      </c>
      <c r="J388" s="17">
        <f>N("GA Power")-IF(DAY(A388)=Budget!$G$9,Budget!$F$9,0)</f>
        <v>0</v>
      </c>
      <c r="K388" s="17">
        <f>N("Haircut")-IF(DAY(A388)=Budget!$G$10,Budget!$F$10,0)</f>
        <v>0</v>
      </c>
      <c r="L388" s="17">
        <f>N("Groceries")-IF(DAY(A388)=Budget!$G$6,Budget!$F$6,0)</f>
        <v>0</v>
      </c>
      <c r="M388" s="17">
        <f>N("Savings")-IF(DAY(A388)=Budget!$G$7,Budget!$F$7,0)</f>
        <v>0</v>
      </c>
      <c r="N388" s="17">
        <f>N("Car Insurance")-COUNTIF(Budget!$G$14, A388)*Budget!$F$14</f>
        <v>0</v>
      </c>
      <c r="O388" s="17">
        <f>N("Phone Bill")-COUNTIF(Budget!$G$15, A388)*Budget!$F$15</f>
        <v>0</v>
      </c>
      <c r="Q388" s="17">
        <f>N("Spotify")-IF(AND(DAY($A388)=Budget!$M$3, MONTH($A388)=Budget!$L$3),Budget!$K$3,0)</f>
        <v>0</v>
      </c>
      <c r="R388" s="17">
        <f>N("Spotify")-IF(AND(DAY($A388)=Budget!$M$4, MONTH($A388)=Budget!$L$4),Budget!$K$4,0)</f>
        <v>0</v>
      </c>
      <c r="S388" s="17">
        <f>N("Spotify")-IF(AND(DAY($A388)=Budget!$M$5, MONTH($A388)=Budget!$L$5),Budget!$K$5,0)</f>
        <v>0</v>
      </c>
      <c r="T388" s="17">
        <f>N("Amazon Prime")-IF(DAY(A388)=Budget!$Q$3,Budget!$P$3,0)</f>
        <v>0</v>
      </c>
      <c r="U388" s="17">
        <f>N("Audible")-IF(DAY(A388)=Budget!$Q$12,Budget!$P$12,0)</f>
        <v>0</v>
      </c>
      <c r="V388" s="17">
        <f>N("Crunchyroll")-IF(DAY(A388)=Budget!$Q$5,Budget!$P$5,0)</f>
        <v>0</v>
      </c>
      <c r="W388" s="17">
        <f>N("HBO Max")-IF(DAY(A388)=Budget!$Q$6,Budget!$P$6,0)</f>
        <v>0</v>
      </c>
      <c r="X388" s="17">
        <f>N("Netflix")-IF(DAY(A388)=Budget!$Q$7,Budget!$P$7,0)</f>
        <v>0</v>
      </c>
      <c r="Y388" s="17">
        <f>N("Spotify")-IF(DAY(A388)=Budget!$Q$8,Budget!$P$8,0)</f>
        <v>0</v>
      </c>
      <c r="Z388" s="17">
        <f>N("Truebill")-IF(DAY(A388)=Budget!$Q$9,Budget!$P$9,0)</f>
        <v>0</v>
      </c>
      <c r="AA388" s="6">
        <f t="shared" si="44"/>
        <v>0</v>
      </c>
    </row>
    <row r="389" spans="1:27" x14ac:dyDescent="0.3">
      <c r="A389" s="4">
        <f t="shared" si="46"/>
        <v>46001</v>
      </c>
      <c r="B389" s="2">
        <f t="shared" si="45"/>
        <v>2338.15</v>
      </c>
      <c r="C389" s="7">
        <f t="shared" si="47"/>
        <v>1</v>
      </c>
      <c r="D389" s="1">
        <v>0</v>
      </c>
      <c r="E389" s="17">
        <f>N("PAY-LM")+IF(WEEKDAY(A389)=Budget!$C$3,Budget!$B$3,0)</f>
        <v>0</v>
      </c>
      <c r="F389" s="17">
        <f>N("Rent")-IF(DAY(A389)=Budget!$G$3,Budget!$F$3,0)</f>
        <v>0</v>
      </c>
      <c r="G389" s="17">
        <f>N("Car")-IF(DAY(A389)=Budget!$G$4,Budget!$F$4+Budget!$H$4,0)</f>
        <v>0</v>
      </c>
      <c r="H389" s="17">
        <f>N("Mom Rent")-IF(DAY(A389)=Budget!$G$5,Budget!$F$5,0)</f>
        <v>0</v>
      </c>
      <c r="I389" s="17">
        <f>N("AT&amp;T")-IF(DAY(A389)=Budget!$G$8,Budget!$F$8,0)</f>
        <v>0</v>
      </c>
      <c r="J389" s="17">
        <f>N("GA Power")-IF(DAY(A389)=Budget!$G$9,Budget!$F$9,0)</f>
        <v>0</v>
      </c>
      <c r="K389" s="17">
        <f>N("Haircut")-IF(DAY(A389)=Budget!$G$10,Budget!$F$10,0)</f>
        <v>0</v>
      </c>
      <c r="L389" s="17">
        <f>N("Groceries")-IF(DAY(A389)=Budget!$G$6,Budget!$F$6,0)</f>
        <v>0</v>
      </c>
      <c r="M389" s="17">
        <f>N("Savings")-IF(DAY(A389)=Budget!$G$7,Budget!$F$7,0)</f>
        <v>0</v>
      </c>
      <c r="N389" s="17">
        <f>N("Car Insurance")-COUNTIF(Budget!$G$14, A389)*Budget!$F$14</f>
        <v>0</v>
      </c>
      <c r="O389" s="17">
        <f>N("Phone Bill")-COUNTIF(Budget!$G$15, A389)*Budget!$F$15</f>
        <v>0</v>
      </c>
      <c r="Q389" s="17">
        <f>N("Spotify")-IF(AND(DAY($A389)=Budget!$M$3, MONTH($A389)=Budget!$L$3),Budget!$K$3,0)</f>
        <v>0</v>
      </c>
      <c r="R389" s="17">
        <f>N("Spotify")-IF(AND(DAY($A389)=Budget!$M$4, MONTH($A389)=Budget!$L$4),Budget!$K$4,0)</f>
        <v>0</v>
      </c>
      <c r="S389" s="17">
        <f>N("Spotify")-IF(AND(DAY($A389)=Budget!$M$5, MONTH($A389)=Budget!$L$5),Budget!$K$5,0)</f>
        <v>0</v>
      </c>
      <c r="T389" s="17">
        <f>N("Amazon Prime")-IF(DAY(A389)=Budget!$Q$3,Budget!$P$3,0)</f>
        <v>0</v>
      </c>
      <c r="U389" s="17">
        <f>N("Audible")-IF(DAY(A389)=Budget!$Q$12,Budget!$P$12,0)</f>
        <v>0</v>
      </c>
      <c r="V389" s="17">
        <f>N("Crunchyroll")-IF(DAY(A389)=Budget!$Q$5,Budget!$P$5,0)</f>
        <v>0</v>
      </c>
      <c r="W389" s="17">
        <f>N("HBO Max")-IF(DAY(A389)=Budget!$Q$6,Budget!$P$6,0)</f>
        <v>0</v>
      </c>
      <c r="X389" s="17">
        <f>N("Netflix")-IF(DAY(A389)=Budget!$Q$7,Budget!$P$7,0)</f>
        <v>0</v>
      </c>
      <c r="Y389" s="17">
        <f>N("Spotify")-IF(DAY(A389)=Budget!$Q$8,Budget!$P$8,0)</f>
        <v>0</v>
      </c>
      <c r="Z389" s="17">
        <f>N("Truebill")-IF(DAY(A389)=Budget!$Q$9,Budget!$P$9,0)</f>
        <v>0</v>
      </c>
      <c r="AA389" s="6">
        <f t="shared" si="44"/>
        <v>0</v>
      </c>
    </row>
    <row r="390" spans="1:27" x14ac:dyDescent="0.3">
      <c r="A390" s="4">
        <f t="shared" si="46"/>
        <v>46002</v>
      </c>
      <c r="B390" s="2">
        <f t="shared" si="45"/>
        <v>2338.15</v>
      </c>
      <c r="C390" s="7">
        <f t="shared" si="47"/>
        <v>1</v>
      </c>
      <c r="D390" s="1">
        <v>0</v>
      </c>
      <c r="E390" s="17">
        <f>N("PAY-LM")+IF(WEEKDAY(A390)=Budget!$C$3,Budget!$B$3,0)</f>
        <v>0</v>
      </c>
      <c r="F390" s="17">
        <f>N("Rent")-IF(DAY(A390)=Budget!$G$3,Budget!$F$3,0)</f>
        <v>0</v>
      </c>
      <c r="G390" s="17">
        <f>N("Car")-IF(DAY(A390)=Budget!$G$4,Budget!$F$4+Budget!$H$4,0)</f>
        <v>0</v>
      </c>
      <c r="H390" s="17">
        <f>N("Mom Rent")-IF(DAY(A390)=Budget!$G$5,Budget!$F$5,0)</f>
        <v>0</v>
      </c>
      <c r="I390" s="17">
        <f>N("AT&amp;T")-IF(DAY(A390)=Budget!$G$8,Budget!$F$8,0)</f>
        <v>0</v>
      </c>
      <c r="J390" s="17">
        <f>N("GA Power")-IF(DAY(A390)=Budget!$G$9,Budget!$F$9,0)</f>
        <v>0</v>
      </c>
      <c r="K390" s="17">
        <f>N("Haircut")-IF(DAY(A390)=Budget!$G$10,Budget!$F$10,0)</f>
        <v>0</v>
      </c>
      <c r="L390" s="17">
        <f>N("Groceries")-IF(DAY(A390)=Budget!$G$6,Budget!$F$6,0)</f>
        <v>0</v>
      </c>
      <c r="M390" s="17">
        <f>N("Savings")-IF(DAY(A390)=Budget!$G$7,Budget!$F$7,0)</f>
        <v>0</v>
      </c>
      <c r="N390" s="17">
        <f>N("Car Insurance")-COUNTIF(Budget!$G$14, A390)*Budget!$F$14</f>
        <v>0</v>
      </c>
      <c r="O390" s="17">
        <f>N("Phone Bill")-COUNTIF(Budget!$G$15, A390)*Budget!$F$15</f>
        <v>0</v>
      </c>
      <c r="Q390" s="17">
        <f>N("Spotify")-IF(AND(DAY($A390)=Budget!$M$3, MONTH($A390)=Budget!$L$3),Budget!$K$3,0)</f>
        <v>0</v>
      </c>
      <c r="R390" s="17">
        <f>N("Spotify")-IF(AND(DAY($A390)=Budget!$M$4, MONTH($A390)=Budget!$L$4),Budget!$K$4,0)</f>
        <v>0</v>
      </c>
      <c r="S390" s="17">
        <f>N("Spotify")-IF(AND(DAY($A390)=Budget!$M$5, MONTH($A390)=Budget!$L$5),Budget!$K$5,0)</f>
        <v>0</v>
      </c>
      <c r="T390" s="17">
        <f>N("Amazon Prime")-IF(DAY(A390)=Budget!$Q$3,Budget!$P$3,0)</f>
        <v>0</v>
      </c>
      <c r="U390" s="17">
        <f>N("Audible")-IF(DAY(A390)=Budget!$Q$12,Budget!$P$12,0)</f>
        <v>0</v>
      </c>
      <c r="V390" s="17">
        <f>N("Crunchyroll")-IF(DAY(A390)=Budget!$Q$5,Budget!$P$5,0)</f>
        <v>0</v>
      </c>
      <c r="W390" s="17">
        <f>N("HBO Max")-IF(DAY(A390)=Budget!$Q$6,Budget!$P$6,0)</f>
        <v>0</v>
      </c>
      <c r="X390" s="17">
        <f>N("Netflix")-IF(DAY(A390)=Budget!$Q$7,Budget!$P$7,0)</f>
        <v>0</v>
      </c>
      <c r="Y390" s="17">
        <f>N("Spotify")-IF(DAY(A390)=Budget!$Q$8,Budget!$P$8,0)</f>
        <v>0</v>
      </c>
      <c r="Z390" s="17">
        <f>N("Truebill")-IF(DAY(A390)=Budget!$Q$9,Budget!$P$9,0)</f>
        <v>0</v>
      </c>
      <c r="AA390" s="6">
        <f t="shared" si="44"/>
        <v>0</v>
      </c>
    </row>
    <row r="391" spans="1:27" x14ac:dyDescent="0.3">
      <c r="A391" s="4">
        <f t="shared" si="46"/>
        <v>46003</v>
      </c>
      <c r="B391" s="2">
        <f t="shared" si="45"/>
        <v>3785.15</v>
      </c>
      <c r="C391" s="7">
        <f t="shared" si="47"/>
        <v>2</v>
      </c>
      <c r="D391" s="1">
        <v>0</v>
      </c>
      <c r="E391" s="17">
        <f>N("PAY-LM")+IF(WEEKDAY(A391)=Budget!$C$3,Budget!$B$3,0)</f>
        <v>1453</v>
      </c>
      <c r="F391" s="17">
        <f>N("Rent")-IF(DAY(A391)=Budget!$G$3,Budget!$F$3,0)</f>
        <v>0</v>
      </c>
      <c r="G391" s="17">
        <f>N("Car")-IF(DAY(A391)=Budget!$G$4,Budget!$F$4+Budget!$H$4,0)</f>
        <v>0</v>
      </c>
      <c r="H391" s="17">
        <f>N("Mom Rent")-IF(DAY(A391)=Budget!$G$5,Budget!$F$5,0)</f>
        <v>0</v>
      </c>
      <c r="I391" s="17">
        <f>N("AT&amp;T")-IF(DAY(A391)=Budget!$G$8,Budget!$F$8,0)</f>
        <v>0</v>
      </c>
      <c r="J391" s="17">
        <f>N("GA Power")-IF(DAY(A391)=Budget!$G$9,Budget!$F$9,0)</f>
        <v>0</v>
      </c>
      <c r="K391" s="17">
        <f>N("Haircut")-IF(DAY(A391)=Budget!$G$10,Budget!$F$10,0)</f>
        <v>0</v>
      </c>
      <c r="L391" s="17">
        <f>N("Groceries")-IF(DAY(A391)=Budget!$G$6,Budget!$F$6,0)</f>
        <v>0</v>
      </c>
      <c r="M391" s="17">
        <f>N("Savings")-IF(DAY(A391)=Budget!$G$7,Budget!$F$7,0)</f>
        <v>0</v>
      </c>
      <c r="N391" s="17">
        <f>N("Car Insurance")-COUNTIF(Budget!$G$14, A391)*Budget!$F$14</f>
        <v>0</v>
      </c>
      <c r="O391" s="17">
        <f>N("Phone Bill")-COUNTIF(Budget!$G$15, A391)*Budget!$F$15</f>
        <v>0</v>
      </c>
      <c r="Q391" s="17">
        <f>N("Spotify")-IF(AND(DAY($A391)=Budget!$M$3, MONTH($A391)=Budget!$L$3),Budget!$K$3,0)</f>
        <v>0</v>
      </c>
      <c r="R391" s="17">
        <f>N("Spotify")-IF(AND(DAY($A391)=Budget!$M$4, MONTH($A391)=Budget!$L$4),Budget!$K$4,0)</f>
        <v>0</v>
      </c>
      <c r="S391" s="17">
        <f>N("Spotify")-IF(AND(DAY($A391)=Budget!$M$5, MONTH($A391)=Budget!$L$5),Budget!$K$5,0)</f>
        <v>0</v>
      </c>
      <c r="T391" s="17">
        <f>N("Amazon Prime")-IF(DAY(A391)=Budget!$Q$3,Budget!$P$3,0)</f>
        <v>0</v>
      </c>
      <c r="U391" s="17">
        <f>N("Audible")-IF(DAY(A391)=Budget!$Q$12,Budget!$P$12,0)</f>
        <v>0</v>
      </c>
      <c r="V391" s="17">
        <f>N("Crunchyroll")-IF(DAY(A391)=Budget!$Q$5,Budget!$P$5,0)</f>
        <v>0</v>
      </c>
      <c r="W391" s="17">
        <f>N("HBO Max")-IF(DAY(A391)=Budget!$Q$6,Budget!$P$6,0)</f>
        <v>0</v>
      </c>
      <c r="X391" s="17">
        <f>N("Netflix")-IF(DAY(A391)=Budget!$Q$7,Budget!$P$7,0)</f>
        <v>-6</v>
      </c>
      <c r="Y391" s="17">
        <f>N("Spotify")-IF(DAY(A391)=Budget!$Q$8,Budget!$P$8,0)</f>
        <v>0</v>
      </c>
      <c r="Z391" s="17">
        <f>N("Truebill")-IF(DAY(A391)=Budget!$Q$9,Budget!$P$9,0)</f>
        <v>0</v>
      </c>
      <c r="AA391" s="6">
        <f t="shared" si="44"/>
        <v>1447</v>
      </c>
    </row>
    <row r="392" spans="1:27" x14ac:dyDescent="0.3">
      <c r="A392" s="4">
        <f t="shared" si="46"/>
        <v>46004</v>
      </c>
      <c r="B392" s="2">
        <f t="shared" si="45"/>
        <v>3785.15</v>
      </c>
      <c r="C392" s="7">
        <f t="shared" si="47"/>
        <v>1</v>
      </c>
      <c r="D392" s="1">
        <v>0</v>
      </c>
      <c r="E392" s="17">
        <f>N("PAY-LM")+IF(WEEKDAY(A392)=Budget!$C$3,Budget!$B$3,0)</f>
        <v>0</v>
      </c>
      <c r="F392" s="17">
        <f>N("Rent")-IF(DAY(A392)=Budget!$G$3,Budget!$F$3,0)</f>
        <v>0</v>
      </c>
      <c r="G392" s="17">
        <f>N("Car")-IF(DAY(A392)=Budget!$G$4,Budget!$F$4+Budget!$H$4,0)</f>
        <v>0</v>
      </c>
      <c r="H392" s="17">
        <f>N("Mom Rent")-IF(DAY(A392)=Budget!$G$5,Budget!$F$5,0)</f>
        <v>0</v>
      </c>
      <c r="I392" s="17">
        <f>N("AT&amp;T")-IF(DAY(A392)=Budget!$G$8,Budget!$F$8,0)</f>
        <v>0</v>
      </c>
      <c r="J392" s="17">
        <f>N("GA Power")-IF(DAY(A392)=Budget!$G$9,Budget!$F$9,0)</f>
        <v>0</v>
      </c>
      <c r="K392" s="17">
        <f>N("Haircut")-IF(DAY(A392)=Budget!$G$10,Budget!$F$10,0)</f>
        <v>0</v>
      </c>
      <c r="L392" s="17">
        <f>N("Groceries")-IF(DAY(A392)=Budget!$G$6,Budget!$F$6,0)</f>
        <v>0</v>
      </c>
      <c r="M392" s="17">
        <f>N("Savings")-IF(DAY(A392)=Budget!$G$7,Budget!$F$7,0)</f>
        <v>0</v>
      </c>
      <c r="N392" s="17">
        <f>N("Car Insurance")-COUNTIF(Budget!$G$14, A392)*Budget!$F$14</f>
        <v>0</v>
      </c>
      <c r="O392" s="17">
        <f>N("Phone Bill")-COUNTIF(Budget!$G$15, A392)*Budget!$F$15</f>
        <v>0</v>
      </c>
      <c r="Q392" s="17">
        <f>N("Spotify")-IF(AND(DAY($A392)=Budget!$M$3, MONTH($A392)=Budget!$L$3),Budget!$K$3,0)</f>
        <v>0</v>
      </c>
      <c r="R392" s="17">
        <f>N("Spotify")-IF(AND(DAY($A392)=Budget!$M$4, MONTH($A392)=Budget!$L$4),Budget!$K$4,0)</f>
        <v>0</v>
      </c>
      <c r="S392" s="17">
        <f>N("Spotify")-IF(AND(DAY($A392)=Budget!$M$5, MONTH($A392)=Budget!$L$5),Budget!$K$5,0)</f>
        <v>0</v>
      </c>
      <c r="T392" s="17">
        <f>N("Amazon Prime")-IF(DAY(A392)=Budget!$Q$3,Budget!$P$3,0)</f>
        <v>0</v>
      </c>
      <c r="U392" s="17">
        <f>N("Audible")-IF(DAY(A392)=Budget!$Q$12,Budget!$P$12,0)</f>
        <v>0</v>
      </c>
      <c r="V392" s="17">
        <f>N("Crunchyroll")-IF(DAY(A392)=Budget!$Q$5,Budget!$P$5,0)</f>
        <v>0</v>
      </c>
      <c r="W392" s="17">
        <f>N("HBO Max")-IF(DAY(A392)=Budget!$Q$6,Budget!$P$6,0)</f>
        <v>0</v>
      </c>
      <c r="X392" s="17">
        <f>N("Netflix")-IF(DAY(A392)=Budget!$Q$7,Budget!$P$7,0)</f>
        <v>0</v>
      </c>
      <c r="Y392" s="17">
        <f>N("Spotify")-IF(DAY(A392)=Budget!$Q$8,Budget!$P$8,0)</f>
        <v>0</v>
      </c>
      <c r="Z392" s="17">
        <f>N("Truebill")-IF(DAY(A392)=Budget!$Q$9,Budget!$P$9,0)</f>
        <v>0</v>
      </c>
      <c r="AA392" s="6">
        <f t="shared" si="44"/>
        <v>0</v>
      </c>
    </row>
    <row r="393" spans="1:27" x14ac:dyDescent="0.3">
      <c r="A393" s="4">
        <f t="shared" si="46"/>
        <v>46005</v>
      </c>
      <c r="B393" s="2">
        <f t="shared" si="45"/>
        <v>3785.15</v>
      </c>
      <c r="C393" s="7">
        <f t="shared" si="47"/>
        <v>1</v>
      </c>
      <c r="D393" s="1">
        <v>0</v>
      </c>
      <c r="E393" s="17">
        <f>N("PAY-LM")+IF(WEEKDAY(A393)=Budget!$C$3,Budget!$B$3,0)</f>
        <v>0</v>
      </c>
      <c r="F393" s="17">
        <f>N("Rent")-IF(DAY(A393)=Budget!$G$3,Budget!$F$3,0)</f>
        <v>0</v>
      </c>
      <c r="G393" s="17">
        <f>N("Car")-IF(DAY(A393)=Budget!$G$4,Budget!$F$4+Budget!$H$4,0)</f>
        <v>0</v>
      </c>
      <c r="H393" s="17">
        <f>N("Mom Rent")-IF(DAY(A393)=Budget!$G$5,Budget!$F$5,0)</f>
        <v>0</v>
      </c>
      <c r="I393" s="17">
        <f>N("AT&amp;T")-IF(DAY(A393)=Budget!$G$8,Budget!$F$8,0)</f>
        <v>0</v>
      </c>
      <c r="J393" s="17">
        <f>N("GA Power")-IF(DAY(A393)=Budget!$G$9,Budget!$F$9,0)</f>
        <v>0</v>
      </c>
      <c r="K393" s="17">
        <f>N("Haircut")-IF(DAY(A393)=Budget!$G$10,Budget!$F$10,0)</f>
        <v>0</v>
      </c>
      <c r="L393" s="17">
        <f>N("Groceries")-IF(DAY(A393)=Budget!$G$6,Budget!$F$6,0)</f>
        <v>0</v>
      </c>
      <c r="M393" s="17">
        <f>N("Savings")-IF(DAY(A393)=Budget!$G$7,Budget!$F$7,0)</f>
        <v>0</v>
      </c>
      <c r="N393" s="17">
        <f>N("Car Insurance")-COUNTIF(Budget!$G$14, A393)*Budget!$F$14</f>
        <v>0</v>
      </c>
      <c r="O393" s="17">
        <f>N("Phone Bill")-COUNTIF(Budget!$G$15, A393)*Budget!$F$15</f>
        <v>0</v>
      </c>
      <c r="Q393" s="17">
        <f>N("Spotify")-IF(AND(DAY($A393)=Budget!$M$3, MONTH($A393)=Budget!$L$3),Budget!$K$3,0)</f>
        <v>0</v>
      </c>
      <c r="R393" s="17">
        <f>N("Spotify")-IF(AND(DAY($A393)=Budget!$M$4, MONTH($A393)=Budget!$L$4),Budget!$K$4,0)</f>
        <v>0</v>
      </c>
      <c r="S393" s="17">
        <f>N("Spotify")-IF(AND(DAY($A393)=Budget!$M$5, MONTH($A393)=Budget!$L$5),Budget!$K$5,0)</f>
        <v>0</v>
      </c>
      <c r="T393" s="17">
        <f>N("Amazon Prime")-IF(DAY(A393)=Budget!$Q$3,Budget!$P$3,0)</f>
        <v>0</v>
      </c>
      <c r="U393" s="17">
        <f>N("Audible")-IF(DAY(A393)=Budget!$Q$12,Budget!$P$12,0)</f>
        <v>0</v>
      </c>
      <c r="V393" s="17">
        <f>N("Crunchyroll")-IF(DAY(A393)=Budget!$Q$5,Budget!$P$5,0)</f>
        <v>0</v>
      </c>
      <c r="W393" s="17">
        <f>N("HBO Max")-IF(DAY(A393)=Budget!$Q$6,Budget!$P$6,0)</f>
        <v>0</v>
      </c>
      <c r="X393" s="17">
        <f>N("Netflix")-IF(DAY(A393)=Budget!$Q$7,Budget!$P$7,0)</f>
        <v>0</v>
      </c>
      <c r="Y393" s="17">
        <f>N("Spotify")-IF(DAY(A393)=Budget!$Q$8,Budget!$P$8,0)</f>
        <v>0</v>
      </c>
      <c r="Z393" s="17">
        <f>N("Truebill")-IF(DAY(A393)=Budget!$Q$9,Budget!$P$9,0)</f>
        <v>0</v>
      </c>
      <c r="AA393" s="6">
        <f t="shared" si="44"/>
        <v>0</v>
      </c>
    </row>
    <row r="394" spans="1:27" x14ac:dyDescent="0.3">
      <c r="A394" s="4">
        <f t="shared" si="46"/>
        <v>46006</v>
      </c>
      <c r="B394" s="2">
        <f t="shared" si="45"/>
        <v>3785.15</v>
      </c>
      <c r="C394" s="7">
        <f t="shared" si="47"/>
        <v>1</v>
      </c>
      <c r="D394" s="1">
        <v>0</v>
      </c>
      <c r="E394" s="17">
        <f>N("PAY-LM")+IF(WEEKDAY(A394)=Budget!$C$3,Budget!$B$3,0)</f>
        <v>0</v>
      </c>
      <c r="F394" s="17">
        <f>N("Rent")-IF(DAY(A394)=Budget!$G$3,Budget!$F$3,0)</f>
        <v>0</v>
      </c>
      <c r="G394" s="17">
        <f>N("Car")-IF(DAY(A394)=Budget!$G$4,Budget!$F$4+Budget!$H$4,0)</f>
        <v>0</v>
      </c>
      <c r="H394" s="17">
        <f>N("Mom Rent")-IF(DAY(A394)=Budget!$G$5,Budget!$F$5,0)</f>
        <v>0</v>
      </c>
      <c r="I394" s="17">
        <f>N("AT&amp;T")-IF(DAY(A394)=Budget!$G$8,Budget!$F$8,0)</f>
        <v>0</v>
      </c>
      <c r="J394" s="17">
        <f>N("GA Power")-IF(DAY(A394)=Budget!$G$9,Budget!$F$9,0)</f>
        <v>0</v>
      </c>
      <c r="K394" s="17">
        <f>N("Haircut")-IF(DAY(A394)=Budget!$G$10,Budget!$F$10,0)</f>
        <v>0</v>
      </c>
      <c r="L394" s="17">
        <f>N("Groceries")-IF(DAY(A394)=Budget!$G$6,Budget!$F$6,0)</f>
        <v>0</v>
      </c>
      <c r="M394" s="17">
        <f>N("Savings")-IF(DAY(A394)=Budget!$G$7,Budget!$F$7,0)</f>
        <v>0</v>
      </c>
      <c r="N394" s="17">
        <f>N("Car Insurance")-COUNTIF(Budget!$G$14, A394)*Budget!$F$14</f>
        <v>0</v>
      </c>
      <c r="O394" s="17">
        <f>N("Phone Bill")-COUNTIF(Budget!$G$15, A394)*Budget!$F$15</f>
        <v>0</v>
      </c>
      <c r="Q394" s="17">
        <f>N("Spotify")-IF(AND(DAY($A394)=Budget!$M$3, MONTH($A394)=Budget!$L$3),Budget!$K$3,0)</f>
        <v>0</v>
      </c>
      <c r="R394" s="17">
        <f>N("Spotify")-IF(AND(DAY($A394)=Budget!$M$4, MONTH($A394)=Budget!$L$4),Budget!$K$4,0)</f>
        <v>0</v>
      </c>
      <c r="S394" s="17">
        <f>N("Spotify")-IF(AND(DAY($A394)=Budget!$M$5, MONTH($A394)=Budget!$L$5),Budget!$K$5,0)</f>
        <v>0</v>
      </c>
      <c r="T394" s="17">
        <f>N("Amazon Prime")-IF(DAY(A394)=Budget!$Q$3,Budget!$P$3,0)</f>
        <v>0</v>
      </c>
      <c r="U394" s="17">
        <f>N("Audible")-IF(DAY(A394)=Budget!$Q$12,Budget!$P$12,0)</f>
        <v>0</v>
      </c>
      <c r="V394" s="17">
        <f>N("Crunchyroll")-IF(DAY(A394)=Budget!$Q$5,Budget!$P$5,0)</f>
        <v>0</v>
      </c>
      <c r="W394" s="17">
        <f>N("HBO Max")-IF(DAY(A394)=Budget!$Q$6,Budget!$P$6,0)</f>
        <v>0</v>
      </c>
      <c r="X394" s="17">
        <f>N("Netflix")-IF(DAY(A394)=Budget!$Q$7,Budget!$P$7,0)</f>
        <v>0</v>
      </c>
      <c r="Y394" s="17">
        <f>N("Spotify")-IF(DAY(A394)=Budget!$Q$8,Budget!$P$8,0)</f>
        <v>0</v>
      </c>
      <c r="Z394" s="17">
        <f>N("Truebill")-IF(DAY(A394)=Budget!$Q$9,Budget!$P$9,0)</f>
        <v>0</v>
      </c>
      <c r="AA394" s="6">
        <f t="shared" si="44"/>
        <v>0</v>
      </c>
    </row>
    <row r="395" spans="1:27" x14ac:dyDescent="0.3">
      <c r="A395" s="4">
        <f t="shared" si="46"/>
        <v>46007</v>
      </c>
      <c r="B395" s="2">
        <f t="shared" si="45"/>
        <v>3785.15</v>
      </c>
      <c r="C395" s="7">
        <f t="shared" si="47"/>
        <v>1</v>
      </c>
      <c r="D395" s="1">
        <v>0</v>
      </c>
      <c r="E395" s="17">
        <f>N("PAY-LM")+IF(WEEKDAY(A395)=Budget!$C$3,Budget!$B$3,0)</f>
        <v>0</v>
      </c>
      <c r="F395" s="17">
        <f>N("Rent")-IF(DAY(A395)=Budget!$G$3,Budget!$F$3,0)</f>
        <v>0</v>
      </c>
      <c r="G395" s="17">
        <f>N("Car")-IF(DAY(A395)=Budget!$G$4,Budget!$F$4+Budget!$H$4,0)</f>
        <v>0</v>
      </c>
      <c r="H395" s="17">
        <f>N("Mom Rent")-IF(DAY(A395)=Budget!$G$5,Budget!$F$5,0)</f>
        <v>0</v>
      </c>
      <c r="I395" s="17">
        <f>N("AT&amp;T")-IF(DAY(A395)=Budget!$G$8,Budget!$F$8,0)</f>
        <v>0</v>
      </c>
      <c r="J395" s="17">
        <f>N("GA Power")-IF(DAY(A395)=Budget!$G$9,Budget!$F$9,0)</f>
        <v>0</v>
      </c>
      <c r="K395" s="17">
        <f>N("Haircut")-IF(DAY(A395)=Budget!$G$10,Budget!$F$10,0)</f>
        <v>0</v>
      </c>
      <c r="L395" s="17">
        <f>N("Groceries")-IF(DAY(A395)=Budget!$G$6,Budget!$F$6,0)</f>
        <v>0</v>
      </c>
      <c r="M395" s="17">
        <f>N("Savings")-IF(DAY(A395)=Budget!$G$7,Budget!$F$7,0)</f>
        <v>0</v>
      </c>
      <c r="N395" s="17">
        <f>N("Car Insurance")-COUNTIF(Budget!$G$14, A395)*Budget!$F$14</f>
        <v>0</v>
      </c>
      <c r="O395" s="17">
        <f>N("Phone Bill")-COUNTIF(Budget!$G$15, A395)*Budget!$F$15</f>
        <v>0</v>
      </c>
      <c r="Q395" s="17">
        <f>N("Spotify")-IF(AND(DAY($A395)=Budget!$M$3, MONTH($A395)=Budget!$L$3),Budget!$K$3,0)</f>
        <v>0</v>
      </c>
      <c r="R395" s="17">
        <f>N("Spotify")-IF(AND(DAY($A395)=Budget!$M$4, MONTH($A395)=Budget!$L$4),Budget!$K$4,0)</f>
        <v>0</v>
      </c>
      <c r="S395" s="17">
        <f>N("Spotify")-IF(AND(DAY($A395)=Budget!$M$5, MONTH($A395)=Budget!$L$5),Budget!$K$5,0)</f>
        <v>0</v>
      </c>
      <c r="T395" s="17">
        <f>N("Amazon Prime")-IF(DAY(A395)=Budget!$Q$3,Budget!$P$3,0)</f>
        <v>0</v>
      </c>
      <c r="U395" s="17">
        <f>N("Audible")-IF(DAY(A395)=Budget!$Q$12,Budget!$P$12,0)</f>
        <v>0</v>
      </c>
      <c r="V395" s="17">
        <f>N("Crunchyroll")-IF(DAY(A395)=Budget!$Q$5,Budget!$P$5,0)</f>
        <v>0</v>
      </c>
      <c r="W395" s="17">
        <f>N("HBO Max")-IF(DAY(A395)=Budget!$Q$6,Budget!$P$6,0)</f>
        <v>0</v>
      </c>
      <c r="X395" s="17">
        <f>N("Netflix")-IF(DAY(A395)=Budget!$Q$7,Budget!$P$7,0)</f>
        <v>0</v>
      </c>
      <c r="Y395" s="17">
        <f>N("Spotify")-IF(DAY(A395)=Budget!$Q$8,Budget!$P$8,0)</f>
        <v>0</v>
      </c>
      <c r="Z395" s="17">
        <f>N("Truebill")-IF(DAY(A395)=Budget!$Q$9,Budget!$P$9,0)</f>
        <v>0</v>
      </c>
      <c r="AA395" s="6">
        <f t="shared" si="44"/>
        <v>0</v>
      </c>
    </row>
    <row r="396" spans="1:27" x14ac:dyDescent="0.3">
      <c r="A396" s="4">
        <f t="shared" si="46"/>
        <v>46008</v>
      </c>
      <c r="B396" s="2">
        <f t="shared" si="45"/>
        <v>3785.15</v>
      </c>
      <c r="C396" s="7">
        <f t="shared" si="47"/>
        <v>1</v>
      </c>
      <c r="D396" s="1">
        <v>0</v>
      </c>
      <c r="E396" s="17">
        <f>N("PAY-LM")+IF(WEEKDAY(A396)=Budget!$C$3,Budget!$B$3,0)</f>
        <v>0</v>
      </c>
      <c r="F396" s="17">
        <f>N("Rent")-IF(DAY(A396)=Budget!$G$3,Budget!$F$3,0)</f>
        <v>0</v>
      </c>
      <c r="G396" s="17">
        <f>N("Car")-IF(DAY(A396)=Budget!$G$4,Budget!$F$4+Budget!$H$4,0)</f>
        <v>0</v>
      </c>
      <c r="H396" s="17">
        <f>N("Mom Rent")-IF(DAY(A396)=Budget!$G$5,Budget!$F$5,0)</f>
        <v>0</v>
      </c>
      <c r="I396" s="17">
        <f>N("AT&amp;T")-IF(DAY(A396)=Budget!$G$8,Budget!$F$8,0)</f>
        <v>0</v>
      </c>
      <c r="J396" s="17">
        <f>N("GA Power")-IF(DAY(A396)=Budget!$G$9,Budget!$F$9,0)</f>
        <v>0</v>
      </c>
      <c r="K396" s="17">
        <f>N("Haircut")-IF(DAY(A396)=Budget!$G$10,Budget!$F$10,0)</f>
        <v>0</v>
      </c>
      <c r="L396" s="17">
        <f>N("Groceries")-IF(DAY(A396)=Budget!$G$6,Budget!$F$6,0)</f>
        <v>0</v>
      </c>
      <c r="M396" s="17">
        <f>N("Savings")-IF(DAY(A396)=Budget!$G$7,Budget!$F$7,0)</f>
        <v>0</v>
      </c>
      <c r="N396" s="17">
        <f>N("Car Insurance")-COUNTIF(Budget!$G$14, A396)*Budget!$F$14</f>
        <v>0</v>
      </c>
      <c r="O396" s="17">
        <f>N("Phone Bill")-COUNTIF(Budget!$G$15, A396)*Budget!$F$15</f>
        <v>0</v>
      </c>
      <c r="Q396" s="17">
        <f>N("Spotify")-IF(AND(DAY($A396)=Budget!$M$3, MONTH($A396)=Budget!$L$3),Budget!$K$3,0)</f>
        <v>0</v>
      </c>
      <c r="R396" s="17">
        <f>N("Spotify")-IF(AND(DAY($A396)=Budget!$M$4, MONTH($A396)=Budget!$L$4),Budget!$K$4,0)</f>
        <v>0</v>
      </c>
      <c r="S396" s="17">
        <f>N("Spotify")-IF(AND(DAY($A396)=Budget!$M$5, MONTH($A396)=Budget!$L$5),Budget!$K$5,0)</f>
        <v>0</v>
      </c>
      <c r="T396" s="17">
        <f>N("Amazon Prime")-IF(DAY(A396)=Budget!$Q$3,Budget!$P$3,0)</f>
        <v>0</v>
      </c>
      <c r="U396" s="17">
        <f>N("Audible")-IF(DAY(A396)=Budget!$Q$12,Budget!$P$12,0)</f>
        <v>0</v>
      </c>
      <c r="V396" s="17">
        <f>N("Crunchyroll")-IF(DAY(A396)=Budget!$Q$5,Budget!$P$5,0)</f>
        <v>0</v>
      </c>
      <c r="W396" s="17">
        <f>N("HBO Max")-IF(DAY(A396)=Budget!$Q$6,Budget!$P$6,0)</f>
        <v>0</v>
      </c>
      <c r="X396" s="17">
        <f>N("Netflix")-IF(DAY(A396)=Budget!$Q$7,Budget!$P$7,0)</f>
        <v>0</v>
      </c>
      <c r="Y396" s="17">
        <f>N("Spotify")-IF(DAY(A396)=Budget!$Q$8,Budget!$P$8,0)</f>
        <v>0</v>
      </c>
      <c r="Z396" s="17">
        <f>N("Truebill")-IF(DAY(A396)=Budget!$Q$9,Budget!$P$9,0)</f>
        <v>0</v>
      </c>
      <c r="AA396" s="6">
        <f t="shared" si="44"/>
        <v>0</v>
      </c>
    </row>
    <row r="397" spans="1:27" x14ac:dyDescent="0.3">
      <c r="A397" s="4">
        <f t="shared" si="46"/>
        <v>46009</v>
      </c>
      <c r="B397" s="2">
        <f t="shared" si="45"/>
        <v>3720.15</v>
      </c>
      <c r="C397" s="7">
        <f t="shared" si="47"/>
        <v>0</v>
      </c>
      <c r="D397" s="1">
        <v>0</v>
      </c>
      <c r="E397" s="17">
        <f>N("PAY-LM")+IF(WEEKDAY(A397)=Budget!$C$3,Budget!$B$3,0)</f>
        <v>0</v>
      </c>
      <c r="F397" s="17">
        <f>N("Rent")-IF(DAY(A397)=Budget!$G$3,Budget!$F$3,0)</f>
        <v>0</v>
      </c>
      <c r="G397" s="17">
        <f>N("Car")-IF(DAY(A397)=Budget!$G$4,Budget!$F$4+Budget!$H$4,0)</f>
        <v>0</v>
      </c>
      <c r="H397" s="17">
        <f>N("Mom Rent")-IF(DAY(A397)=Budget!$G$5,Budget!$F$5,0)</f>
        <v>0</v>
      </c>
      <c r="I397" s="17">
        <f>N("AT&amp;T")-IF(DAY(A397)=Budget!$G$8,Budget!$F$8,0)</f>
        <v>-65</v>
      </c>
      <c r="J397" s="17">
        <f>N("GA Power")-IF(DAY(A397)=Budget!$G$9,Budget!$F$9,0)</f>
        <v>0</v>
      </c>
      <c r="K397" s="17">
        <f>N("Haircut")-IF(DAY(A397)=Budget!$G$10,Budget!$F$10,0)</f>
        <v>0</v>
      </c>
      <c r="L397" s="17">
        <f>N("Groceries")-IF(DAY(A397)=Budget!$G$6,Budget!$F$6,0)</f>
        <v>0</v>
      </c>
      <c r="M397" s="17">
        <f>N("Savings")-IF(DAY(A397)=Budget!$G$7,Budget!$F$7,0)</f>
        <v>0</v>
      </c>
      <c r="N397" s="17">
        <f>N("Car Insurance")-COUNTIF(Budget!$G$14, A397)*Budget!$F$14</f>
        <v>0</v>
      </c>
      <c r="O397" s="17">
        <f>N("Phone Bill")-COUNTIF(Budget!$G$15, A397)*Budget!$F$15</f>
        <v>0</v>
      </c>
      <c r="Q397" s="17">
        <f>N("Spotify")-IF(AND(DAY($A397)=Budget!$M$3, MONTH($A397)=Budget!$L$3),Budget!$K$3,0)</f>
        <v>0</v>
      </c>
      <c r="R397" s="17">
        <f>N("Spotify")-IF(AND(DAY($A397)=Budget!$M$4, MONTH($A397)=Budget!$L$4),Budget!$K$4,0)</f>
        <v>0</v>
      </c>
      <c r="S397" s="17">
        <f>N("Spotify")-IF(AND(DAY($A397)=Budget!$M$5, MONTH($A397)=Budget!$L$5),Budget!$K$5,0)</f>
        <v>0</v>
      </c>
      <c r="T397" s="17">
        <f>N("Amazon Prime")-IF(DAY(A397)=Budget!$Q$3,Budget!$P$3,0)</f>
        <v>0</v>
      </c>
      <c r="U397" s="17">
        <f>N("Audible")-IF(DAY(A397)=Budget!$Q$12,Budget!$P$12,0)</f>
        <v>0</v>
      </c>
      <c r="V397" s="17">
        <f>N("Crunchyroll")-IF(DAY(A397)=Budget!$Q$5,Budget!$P$5,0)</f>
        <v>0</v>
      </c>
      <c r="W397" s="17">
        <f>N("HBO Max")-IF(DAY(A397)=Budget!$Q$6,Budget!$P$6,0)</f>
        <v>0</v>
      </c>
      <c r="X397" s="17">
        <f>N("Netflix")-IF(DAY(A397)=Budget!$Q$7,Budget!$P$7,0)</f>
        <v>0</v>
      </c>
      <c r="Y397" s="17">
        <f>N("Spotify")-IF(DAY(A397)=Budget!$Q$8,Budget!$P$8,0)</f>
        <v>0</v>
      </c>
      <c r="Z397" s="17">
        <f>N("Truebill")-IF(DAY(A397)=Budget!$Q$9,Budget!$P$9,0)</f>
        <v>0</v>
      </c>
      <c r="AA397" s="6">
        <f t="shared" si="44"/>
        <v>-65</v>
      </c>
    </row>
    <row r="398" spans="1:27" x14ac:dyDescent="0.3">
      <c r="A398" s="4">
        <f t="shared" si="46"/>
        <v>46010</v>
      </c>
      <c r="B398" s="2">
        <f t="shared" si="45"/>
        <v>5173.1499999999996</v>
      </c>
      <c r="C398" s="7">
        <f t="shared" si="47"/>
        <v>2</v>
      </c>
      <c r="D398" s="1">
        <v>0</v>
      </c>
      <c r="E398" s="17">
        <f>N("PAY-LM")+IF(WEEKDAY(A398)=Budget!$C$3,Budget!$B$3,0)</f>
        <v>1453</v>
      </c>
      <c r="F398" s="17">
        <f>N("Rent")-IF(DAY(A398)=Budget!$G$3,Budget!$F$3,0)</f>
        <v>0</v>
      </c>
      <c r="G398" s="17">
        <f>N("Car")-IF(DAY(A398)=Budget!$G$4,Budget!$F$4+Budget!$H$4,0)</f>
        <v>0</v>
      </c>
      <c r="H398" s="17">
        <f>N("Mom Rent")-IF(DAY(A398)=Budget!$G$5,Budget!$F$5,0)</f>
        <v>0</v>
      </c>
      <c r="I398" s="17">
        <f>N("AT&amp;T")-IF(DAY(A398)=Budget!$G$8,Budget!$F$8,0)</f>
        <v>0</v>
      </c>
      <c r="J398" s="17">
        <f>N("GA Power")-IF(DAY(A398)=Budget!$G$9,Budget!$F$9,0)</f>
        <v>0</v>
      </c>
      <c r="K398" s="17">
        <f>N("Haircut")-IF(DAY(A398)=Budget!$G$10,Budget!$F$10,0)</f>
        <v>0</v>
      </c>
      <c r="L398" s="17">
        <f>N("Groceries")-IF(DAY(A398)=Budget!$G$6,Budget!$F$6,0)</f>
        <v>0</v>
      </c>
      <c r="M398" s="17">
        <f>N("Savings")-IF(DAY(A398)=Budget!$G$7,Budget!$F$7,0)</f>
        <v>0</v>
      </c>
      <c r="N398" s="17">
        <f>N("Car Insurance")-COUNTIF(Budget!$G$14, A398)*Budget!$F$14</f>
        <v>0</v>
      </c>
      <c r="O398" s="17">
        <f>N("Phone Bill")-COUNTIF(Budget!$G$15, A398)*Budget!$F$15</f>
        <v>0</v>
      </c>
      <c r="Q398" s="17">
        <f>N("Spotify")-IF(AND(DAY($A398)=Budget!$M$3, MONTH($A398)=Budget!$L$3),Budget!$K$3,0)</f>
        <v>0</v>
      </c>
      <c r="R398" s="17">
        <f>N("Spotify")-IF(AND(DAY($A398)=Budget!$M$4, MONTH($A398)=Budget!$L$4),Budget!$K$4,0)</f>
        <v>0</v>
      </c>
      <c r="S398" s="17">
        <f>N("Spotify")-IF(AND(DAY($A398)=Budget!$M$5, MONTH($A398)=Budget!$L$5),Budget!$K$5,0)</f>
        <v>0</v>
      </c>
      <c r="T398" s="17">
        <f>N("Amazon Prime")-IF(DAY(A398)=Budget!$Q$3,Budget!$P$3,0)</f>
        <v>0</v>
      </c>
      <c r="U398" s="17">
        <f>N("Audible")-IF(DAY(A398)=Budget!$Q$12,Budget!$P$12,0)</f>
        <v>0</v>
      </c>
      <c r="V398" s="17">
        <f>N("Crunchyroll")-IF(DAY(A398)=Budget!$Q$5,Budget!$P$5,0)</f>
        <v>0</v>
      </c>
      <c r="W398" s="17">
        <f>N("HBO Max")-IF(DAY(A398)=Budget!$Q$6,Budget!$P$6,0)</f>
        <v>0</v>
      </c>
      <c r="X398" s="17">
        <f>N("Netflix")-IF(DAY(A398)=Budget!$Q$7,Budget!$P$7,0)</f>
        <v>0</v>
      </c>
      <c r="Y398" s="17">
        <f>N("Spotify")-IF(DAY(A398)=Budget!$Q$8,Budget!$P$8,0)</f>
        <v>0</v>
      </c>
      <c r="Z398" s="17">
        <f>N("Truebill")-IF(DAY(A398)=Budget!$Q$9,Budget!$P$9,0)</f>
        <v>0</v>
      </c>
      <c r="AA398" s="6">
        <f t="shared" si="44"/>
        <v>1453</v>
      </c>
    </row>
    <row r="399" spans="1:27" x14ac:dyDescent="0.3">
      <c r="A399" s="4">
        <f t="shared" si="46"/>
        <v>46011</v>
      </c>
      <c r="B399" s="2">
        <f t="shared" si="45"/>
        <v>4323.1499999999996</v>
      </c>
      <c r="C399" s="7">
        <f t="shared" si="47"/>
        <v>0</v>
      </c>
      <c r="D399" s="1">
        <v>0</v>
      </c>
      <c r="E399" s="17">
        <f>N("PAY-LM")+IF(WEEKDAY(A399)=Budget!$C$3,Budget!$B$3,0)</f>
        <v>0</v>
      </c>
      <c r="F399" s="17">
        <f>N("Rent")-IF(DAY(A399)=Budget!$G$3,Budget!$F$3,0)</f>
        <v>0</v>
      </c>
      <c r="G399" s="17">
        <f>N("Car")-IF(DAY(A399)=Budget!$G$4,Budget!$F$4+Budget!$H$4,0)</f>
        <v>0</v>
      </c>
      <c r="H399" s="17">
        <f>N("Mom Rent")-IF(DAY(A399)=Budget!$G$5,Budget!$F$5,0)</f>
        <v>-850</v>
      </c>
      <c r="I399" s="17">
        <f>N("AT&amp;T")-IF(DAY(A399)=Budget!$G$8,Budget!$F$8,0)</f>
        <v>0</v>
      </c>
      <c r="J399" s="17">
        <f>N("GA Power")-IF(DAY(A399)=Budget!$G$9,Budget!$F$9,0)</f>
        <v>0</v>
      </c>
      <c r="K399" s="17">
        <f>N("Haircut")-IF(DAY(A399)=Budget!$G$10,Budget!$F$10,0)</f>
        <v>0</v>
      </c>
      <c r="L399" s="17">
        <f>N("Groceries")-IF(DAY(A399)=Budget!$G$6,Budget!$F$6,0)</f>
        <v>0</v>
      </c>
      <c r="M399" s="17">
        <f>N("Savings")-IF(DAY(A399)=Budget!$G$7,Budget!$F$7,0)</f>
        <v>0</v>
      </c>
      <c r="N399" s="17">
        <f>N("Car Insurance")-COUNTIF(Budget!$G$14, A399)*Budget!$F$14</f>
        <v>0</v>
      </c>
      <c r="O399" s="17">
        <f>N("Phone Bill")-COUNTIF(Budget!$G$15, A399)*Budget!$F$15</f>
        <v>0</v>
      </c>
      <c r="Q399" s="17">
        <f>N("Spotify")-IF(AND(DAY($A399)=Budget!$M$3, MONTH($A399)=Budget!$L$3),Budget!$K$3,0)</f>
        <v>0</v>
      </c>
      <c r="R399" s="17">
        <f>N("Spotify")-IF(AND(DAY($A399)=Budget!$M$4, MONTH($A399)=Budget!$L$4),Budget!$K$4,0)</f>
        <v>0</v>
      </c>
      <c r="S399" s="17">
        <f>N("Spotify")-IF(AND(DAY($A399)=Budget!$M$5, MONTH($A399)=Budget!$L$5),Budget!$K$5,0)</f>
        <v>0</v>
      </c>
      <c r="T399" s="17">
        <f>N("Amazon Prime")-IF(DAY(A399)=Budget!$Q$3,Budget!$P$3,0)</f>
        <v>0</v>
      </c>
      <c r="U399" s="17">
        <f>N("Audible")-IF(DAY(A399)=Budget!$Q$12,Budget!$P$12,0)</f>
        <v>0</v>
      </c>
      <c r="V399" s="17">
        <f>N("Crunchyroll")-IF(DAY(A399)=Budget!$Q$5,Budget!$P$5,0)</f>
        <v>0</v>
      </c>
      <c r="W399" s="17">
        <f>N("HBO Max")-IF(DAY(A399)=Budget!$Q$6,Budget!$P$6,0)</f>
        <v>0</v>
      </c>
      <c r="X399" s="17">
        <f>N("Netflix")-IF(DAY(A399)=Budget!$Q$7,Budget!$P$7,0)</f>
        <v>0</v>
      </c>
      <c r="Y399" s="17">
        <f>N("Spotify")-IF(DAY(A399)=Budget!$Q$8,Budget!$P$8,0)</f>
        <v>0</v>
      </c>
      <c r="Z399" s="17">
        <f>N("Truebill")-IF(DAY(A399)=Budget!$Q$9,Budget!$P$9,0)</f>
        <v>0</v>
      </c>
      <c r="AA399" s="6">
        <f t="shared" si="44"/>
        <v>-850</v>
      </c>
    </row>
    <row r="400" spans="1:27" x14ac:dyDescent="0.3">
      <c r="A400" s="4">
        <f t="shared" si="46"/>
        <v>46012</v>
      </c>
      <c r="B400" s="2">
        <f t="shared" si="45"/>
        <v>4323.1499999999996</v>
      </c>
      <c r="C400" s="7">
        <f t="shared" si="47"/>
        <v>1</v>
      </c>
      <c r="D400" s="1">
        <v>0</v>
      </c>
      <c r="E400" s="17">
        <f>N("PAY-LM")+IF(WEEKDAY(A400)=Budget!$C$3,Budget!$B$3,0)</f>
        <v>0</v>
      </c>
      <c r="F400" s="17">
        <f>N("Rent")-IF(DAY(A400)=Budget!$G$3,Budget!$F$3,0)</f>
        <v>0</v>
      </c>
      <c r="G400" s="17">
        <f>N("Car")-IF(DAY(A400)=Budget!$G$4,Budget!$F$4+Budget!$H$4,0)</f>
        <v>0</v>
      </c>
      <c r="H400" s="17">
        <f>N("Mom Rent")-IF(DAY(A400)=Budget!$G$5,Budget!$F$5,0)</f>
        <v>0</v>
      </c>
      <c r="I400" s="17">
        <f>N("AT&amp;T")-IF(DAY(A400)=Budget!$G$8,Budget!$F$8,0)</f>
        <v>0</v>
      </c>
      <c r="J400" s="17">
        <f>N("GA Power")-IF(DAY(A400)=Budget!$G$9,Budget!$F$9,0)</f>
        <v>0</v>
      </c>
      <c r="K400" s="17">
        <f>N("Haircut")-IF(DAY(A400)=Budget!$G$10,Budget!$F$10,0)</f>
        <v>0</v>
      </c>
      <c r="L400" s="17">
        <f>N("Groceries")-IF(DAY(A400)=Budget!$G$6,Budget!$F$6,0)</f>
        <v>0</v>
      </c>
      <c r="M400" s="17">
        <f>N("Savings")-IF(DAY(A400)=Budget!$G$7,Budget!$F$7,0)</f>
        <v>0</v>
      </c>
      <c r="N400" s="17">
        <f>N("Car Insurance")-COUNTIF(Budget!$G$14, A400)*Budget!$F$14</f>
        <v>0</v>
      </c>
      <c r="O400" s="17">
        <f>N("Phone Bill")-COUNTIF(Budget!$G$15, A400)*Budget!$F$15</f>
        <v>0</v>
      </c>
      <c r="Q400" s="17">
        <f>N("Spotify")-IF(AND(DAY($A400)=Budget!$M$3, MONTH($A400)=Budget!$L$3),Budget!$K$3,0)</f>
        <v>0</v>
      </c>
      <c r="R400" s="17">
        <f>N("Spotify")-IF(AND(DAY($A400)=Budget!$M$4, MONTH($A400)=Budget!$L$4),Budget!$K$4,0)</f>
        <v>0</v>
      </c>
      <c r="S400" s="17">
        <f>N("Spotify")-IF(AND(DAY($A400)=Budget!$M$5, MONTH($A400)=Budget!$L$5),Budget!$K$5,0)</f>
        <v>0</v>
      </c>
      <c r="T400" s="17">
        <f>N("Amazon Prime")-IF(DAY(A400)=Budget!$Q$3,Budget!$P$3,0)</f>
        <v>0</v>
      </c>
      <c r="U400" s="17">
        <f>N("Audible")-IF(DAY(A400)=Budget!$Q$12,Budget!$P$12,0)</f>
        <v>0</v>
      </c>
      <c r="V400" s="17">
        <f>N("Crunchyroll")-IF(DAY(A400)=Budget!$Q$5,Budget!$P$5,0)</f>
        <v>0</v>
      </c>
      <c r="W400" s="17">
        <f>N("HBO Max")-IF(DAY(A400)=Budget!$Q$6,Budget!$P$6,0)</f>
        <v>0</v>
      </c>
      <c r="X400" s="17">
        <f>N("Netflix")-IF(DAY(A400)=Budget!$Q$7,Budget!$P$7,0)</f>
        <v>0</v>
      </c>
      <c r="Y400" s="17">
        <f>N("Spotify")-IF(DAY(A400)=Budget!$Q$8,Budget!$P$8,0)</f>
        <v>0</v>
      </c>
      <c r="Z400" s="17">
        <f>N("Truebill")-IF(DAY(A400)=Budget!$Q$9,Budget!$P$9,0)</f>
        <v>0</v>
      </c>
      <c r="AA400" s="6">
        <f t="shared" si="44"/>
        <v>0</v>
      </c>
    </row>
    <row r="401" spans="1:30" x14ac:dyDescent="0.3">
      <c r="A401" s="4">
        <f t="shared" si="46"/>
        <v>46013</v>
      </c>
      <c r="B401" s="2">
        <f t="shared" si="45"/>
        <v>4323.1499999999996</v>
      </c>
      <c r="C401" s="7">
        <f t="shared" si="47"/>
        <v>1</v>
      </c>
      <c r="D401" s="1">
        <v>0</v>
      </c>
      <c r="E401" s="17">
        <f>N("PAY-LM")+IF(WEEKDAY(A401)=Budget!$C$3,Budget!$B$3,0)</f>
        <v>0</v>
      </c>
      <c r="F401" s="17">
        <f>N("Rent")-IF(DAY(A401)=Budget!$G$3,Budget!$F$3,0)</f>
        <v>0</v>
      </c>
      <c r="G401" s="17">
        <f>N("Car")-IF(DAY(A401)=Budget!$G$4,Budget!$F$4+Budget!$H$4,0)</f>
        <v>0</v>
      </c>
      <c r="H401" s="17">
        <f>N("Mom Rent")-IF(DAY(A401)=Budget!$G$5,Budget!$F$5,0)</f>
        <v>0</v>
      </c>
      <c r="I401" s="17">
        <f>N("AT&amp;T")-IF(DAY(A401)=Budget!$G$8,Budget!$F$8,0)</f>
        <v>0</v>
      </c>
      <c r="J401" s="17">
        <f>N("GA Power")-IF(DAY(A401)=Budget!$G$9,Budget!$F$9,0)</f>
        <v>0</v>
      </c>
      <c r="K401" s="17">
        <f>N("Haircut")-IF(DAY(A401)=Budget!$G$10,Budget!$F$10,0)</f>
        <v>0</v>
      </c>
      <c r="L401" s="17">
        <f>N("Groceries")-IF(DAY(A401)=Budget!$G$6,Budget!$F$6,0)</f>
        <v>0</v>
      </c>
      <c r="M401" s="17">
        <f>N("Savings")-IF(DAY(A401)=Budget!$G$7,Budget!$F$7,0)</f>
        <v>0</v>
      </c>
      <c r="N401" s="17">
        <f>N("Car Insurance")-COUNTIF(Budget!$G$14, A401)*Budget!$F$14</f>
        <v>0</v>
      </c>
      <c r="O401" s="17">
        <f>N("Phone Bill")-COUNTIF(Budget!$G$15, A401)*Budget!$F$15</f>
        <v>0</v>
      </c>
      <c r="Q401" s="17">
        <f>N("Spotify")-IF(AND(DAY($A401)=Budget!$M$3, MONTH($A401)=Budget!$L$3),Budget!$K$3,0)</f>
        <v>0</v>
      </c>
      <c r="R401" s="17">
        <f>N("Spotify")-IF(AND(DAY($A401)=Budget!$M$4, MONTH($A401)=Budget!$L$4),Budget!$K$4,0)</f>
        <v>0</v>
      </c>
      <c r="S401" s="17">
        <f>N("Spotify")-IF(AND(DAY($A401)=Budget!$M$5, MONTH($A401)=Budget!$L$5),Budget!$K$5,0)</f>
        <v>0</v>
      </c>
      <c r="T401" s="17">
        <f>N("Amazon Prime")-IF(DAY(A401)=Budget!$Q$3,Budget!$P$3,0)</f>
        <v>0</v>
      </c>
      <c r="U401" s="17">
        <f>N("Audible")-IF(DAY(A401)=Budget!$Q$12,Budget!$P$12,0)</f>
        <v>0</v>
      </c>
      <c r="V401" s="17">
        <f>N("Crunchyroll")-IF(DAY(A401)=Budget!$Q$5,Budget!$P$5,0)</f>
        <v>0</v>
      </c>
      <c r="W401" s="17">
        <f>N("HBO Max")-IF(DAY(A401)=Budget!$Q$6,Budget!$P$6,0)</f>
        <v>0</v>
      </c>
      <c r="X401" s="17">
        <f>N("Netflix")-IF(DAY(A401)=Budget!$Q$7,Budget!$P$7,0)</f>
        <v>0</v>
      </c>
      <c r="Y401" s="17">
        <f>N("Spotify")-IF(DAY(A401)=Budget!$Q$8,Budget!$P$8,0)</f>
        <v>0</v>
      </c>
      <c r="Z401" s="17">
        <f>N("Truebill")-IF(DAY(A401)=Budget!$Q$9,Budget!$P$9,0)</f>
        <v>0</v>
      </c>
      <c r="AA401" s="6">
        <f t="shared" si="44"/>
        <v>0</v>
      </c>
    </row>
    <row r="402" spans="1:30" x14ac:dyDescent="0.3">
      <c r="A402" s="4">
        <f t="shared" si="46"/>
        <v>46014</v>
      </c>
      <c r="B402" s="2">
        <f t="shared" si="45"/>
        <v>4323.1499999999996</v>
      </c>
      <c r="C402" s="7">
        <f t="shared" si="47"/>
        <v>1</v>
      </c>
      <c r="D402" s="1">
        <v>0</v>
      </c>
      <c r="E402" s="17">
        <f>N("PAY-LM")+IF(WEEKDAY(A402)=Budget!$C$3,Budget!$B$3,0)</f>
        <v>0</v>
      </c>
      <c r="F402" s="17">
        <f>N("Rent")-IF(DAY(A402)=Budget!$G$3,Budget!$F$3,0)</f>
        <v>0</v>
      </c>
      <c r="G402" s="17">
        <f>N("Car")-IF(DAY(A402)=Budget!$G$4,Budget!$F$4+Budget!$H$4,0)</f>
        <v>0</v>
      </c>
      <c r="H402" s="17">
        <f>N("Mom Rent")-IF(DAY(A402)=Budget!$G$5,Budget!$F$5,0)</f>
        <v>0</v>
      </c>
      <c r="I402" s="17">
        <f>N("AT&amp;T")-IF(DAY(A402)=Budget!$G$8,Budget!$F$8,0)</f>
        <v>0</v>
      </c>
      <c r="J402" s="17">
        <f>N("GA Power")-IF(DAY(A402)=Budget!$G$9,Budget!$F$9,0)</f>
        <v>0</v>
      </c>
      <c r="K402" s="17">
        <f>N("Haircut")-IF(DAY(A402)=Budget!$G$10,Budget!$F$10,0)</f>
        <v>0</v>
      </c>
      <c r="L402" s="17">
        <f>N("Groceries")-IF(DAY(A402)=Budget!$G$6,Budget!$F$6,0)</f>
        <v>0</v>
      </c>
      <c r="M402" s="17">
        <f>N("Savings")-IF(DAY(A402)=Budget!$G$7,Budget!$F$7,0)</f>
        <v>0</v>
      </c>
      <c r="N402" s="17">
        <f>N("Car Insurance")-COUNTIF(Budget!$G$14, A402)*Budget!$F$14</f>
        <v>0</v>
      </c>
      <c r="O402" s="17">
        <f>N("Phone Bill")-COUNTIF(Budget!$G$15, A402)*Budget!$F$15</f>
        <v>0</v>
      </c>
      <c r="Q402" s="17">
        <f>N("Spotify")-IF(AND(DAY($A402)=Budget!$M$3, MONTH($A402)=Budget!$L$3),Budget!$K$3,0)</f>
        <v>0</v>
      </c>
      <c r="R402" s="17">
        <f>N("Spotify")-IF(AND(DAY($A402)=Budget!$M$4, MONTH($A402)=Budget!$L$4),Budget!$K$4,0)</f>
        <v>0</v>
      </c>
      <c r="S402" s="17">
        <f>N("Spotify")-IF(AND(DAY($A402)=Budget!$M$5, MONTH($A402)=Budget!$L$5),Budget!$K$5,0)</f>
        <v>0</v>
      </c>
      <c r="T402" s="17">
        <f>N("Amazon Prime")-IF(DAY(A402)=Budget!$Q$3,Budget!$P$3,0)</f>
        <v>0</v>
      </c>
      <c r="U402" s="17">
        <f>N("Audible")-IF(DAY(A402)=Budget!$Q$12,Budget!$P$12,0)</f>
        <v>0</v>
      </c>
      <c r="V402" s="17">
        <f>N("Crunchyroll")-IF(DAY(A402)=Budget!$Q$5,Budget!$P$5,0)</f>
        <v>0</v>
      </c>
      <c r="W402" s="17">
        <f>N("HBO Max")-IF(DAY(A402)=Budget!$Q$6,Budget!$P$6,0)</f>
        <v>0</v>
      </c>
      <c r="X402" s="17">
        <f>N("Netflix")-IF(DAY(A402)=Budget!$Q$7,Budget!$P$7,0)</f>
        <v>0</v>
      </c>
      <c r="Y402" s="17">
        <f>N("Spotify")-IF(DAY(A402)=Budget!$Q$8,Budget!$P$8,0)</f>
        <v>0</v>
      </c>
      <c r="Z402" s="17">
        <f>N("Truebill")-IF(DAY(A402)=Budget!$Q$9,Budget!$P$9,0)</f>
        <v>0</v>
      </c>
      <c r="AA402" s="6">
        <f t="shared" si="44"/>
        <v>0</v>
      </c>
    </row>
    <row r="403" spans="1:30" x14ac:dyDescent="0.3">
      <c r="A403" s="4">
        <f t="shared" si="46"/>
        <v>46015</v>
      </c>
      <c r="B403" s="2">
        <f t="shared" si="45"/>
        <v>4323.1499999999996</v>
      </c>
      <c r="C403" s="7">
        <f t="shared" si="47"/>
        <v>1</v>
      </c>
      <c r="D403" s="1">
        <v>0</v>
      </c>
      <c r="E403" s="17">
        <f>N("PAY-LM")+IF(WEEKDAY(A403)=Budget!$C$3,Budget!$B$3,0)</f>
        <v>0</v>
      </c>
      <c r="F403" s="17">
        <f>N("Rent")-IF(DAY(A403)=Budget!$G$3,Budget!$F$3,0)</f>
        <v>0</v>
      </c>
      <c r="G403" s="17">
        <f>N("Car")-IF(DAY(A403)=Budget!$G$4,Budget!$F$4+Budget!$H$4,0)</f>
        <v>0</v>
      </c>
      <c r="H403" s="17">
        <f>N("Mom Rent")-IF(DAY(A403)=Budget!$G$5,Budget!$F$5,0)</f>
        <v>0</v>
      </c>
      <c r="I403" s="17">
        <f>N("AT&amp;T")-IF(DAY(A403)=Budget!$G$8,Budget!$F$8,0)</f>
        <v>0</v>
      </c>
      <c r="J403" s="17">
        <f>N("GA Power")-IF(DAY(A403)=Budget!$G$9,Budget!$F$9,0)</f>
        <v>0</v>
      </c>
      <c r="K403" s="17">
        <f>N("Haircut")-IF(DAY(A403)=Budget!$G$10,Budget!$F$10,0)</f>
        <v>0</v>
      </c>
      <c r="L403" s="17">
        <f>N("Groceries")-IF(DAY(A403)=Budget!$G$6,Budget!$F$6,0)</f>
        <v>0</v>
      </c>
      <c r="M403" s="17">
        <f>N("Savings")-IF(DAY(A403)=Budget!$G$7,Budget!$F$7,0)</f>
        <v>0</v>
      </c>
      <c r="N403" s="17">
        <f>N("Car Insurance")-COUNTIF(Budget!$G$14, A403)*Budget!$F$14</f>
        <v>0</v>
      </c>
      <c r="O403" s="17">
        <f>N("Phone Bill")-COUNTIF(Budget!$G$15, A403)*Budget!$F$15</f>
        <v>0</v>
      </c>
      <c r="Q403" s="17">
        <f>N("Spotify")-IF(AND(DAY($A403)=Budget!$M$3, MONTH($A403)=Budget!$L$3),Budget!$K$3,0)</f>
        <v>0</v>
      </c>
      <c r="R403" s="17">
        <f>N("Spotify")-IF(AND(DAY($A403)=Budget!$M$4, MONTH($A403)=Budget!$L$4),Budget!$K$4,0)</f>
        <v>0</v>
      </c>
      <c r="S403" s="17">
        <f>N("Spotify")-IF(AND(DAY($A403)=Budget!$M$5, MONTH($A403)=Budget!$L$5),Budget!$K$5,0)</f>
        <v>0</v>
      </c>
      <c r="T403" s="17">
        <f>N("Amazon Prime")-IF(DAY(A403)=Budget!$Q$3,Budget!$P$3,0)</f>
        <v>0</v>
      </c>
      <c r="U403" s="17">
        <f>N("Audible")-IF(DAY(A403)=Budget!$Q$12,Budget!$P$12,0)</f>
        <v>0</v>
      </c>
      <c r="V403" s="17">
        <f>N("Crunchyroll")-IF(DAY(A403)=Budget!$Q$5,Budget!$P$5,0)</f>
        <v>0</v>
      </c>
      <c r="W403" s="17">
        <f>N("HBO Max")-IF(DAY(A403)=Budget!$Q$6,Budget!$P$6,0)</f>
        <v>0</v>
      </c>
      <c r="X403" s="17">
        <f>N("Netflix")-IF(DAY(A403)=Budget!$Q$7,Budget!$P$7,0)</f>
        <v>0</v>
      </c>
      <c r="Y403" s="17">
        <f>N("Spotify")-IF(DAY(A403)=Budget!$Q$8,Budget!$P$8,0)</f>
        <v>0</v>
      </c>
      <c r="Z403" s="17">
        <f>N("Truebill")-IF(DAY(A403)=Budget!$Q$9,Budget!$P$9,0)</f>
        <v>0</v>
      </c>
      <c r="AA403" s="6">
        <f t="shared" si="44"/>
        <v>0</v>
      </c>
    </row>
    <row r="404" spans="1:30" x14ac:dyDescent="0.3">
      <c r="A404" s="4">
        <f t="shared" si="46"/>
        <v>46016</v>
      </c>
      <c r="B404" s="2">
        <f t="shared" si="45"/>
        <v>4323.1499999999996</v>
      </c>
      <c r="C404" s="7">
        <f t="shared" si="47"/>
        <v>1</v>
      </c>
      <c r="D404" s="1">
        <v>0</v>
      </c>
      <c r="E404" s="17">
        <f>N("PAY-LM")+IF(WEEKDAY(A404)=Budget!$C$3,Budget!$B$3,0)</f>
        <v>0</v>
      </c>
      <c r="F404" s="17">
        <f>N("Rent")-IF(DAY(A404)=Budget!$G$3,Budget!$F$3,0)</f>
        <v>0</v>
      </c>
      <c r="G404" s="17">
        <f>N("Car")-IF(DAY(A404)=Budget!$G$4,Budget!$F$4+Budget!$H$4,0)</f>
        <v>0</v>
      </c>
      <c r="H404" s="17">
        <f>N("Mom Rent")-IF(DAY(A404)=Budget!$G$5,Budget!$F$5,0)</f>
        <v>0</v>
      </c>
      <c r="I404" s="17">
        <f>N("AT&amp;T")-IF(DAY(A404)=Budget!$G$8,Budget!$F$8,0)</f>
        <v>0</v>
      </c>
      <c r="J404" s="17">
        <f>N("GA Power")-IF(DAY(A404)=Budget!$G$9,Budget!$F$9,0)</f>
        <v>0</v>
      </c>
      <c r="K404" s="17">
        <f>N("Haircut")-IF(DAY(A404)=Budget!$G$10,Budget!$F$10,0)</f>
        <v>0</v>
      </c>
      <c r="L404" s="17">
        <f>N("Groceries")-IF(DAY(A404)=Budget!$G$6,Budget!$F$6,0)</f>
        <v>0</v>
      </c>
      <c r="M404" s="17">
        <f>N("Savings")-IF(DAY(A404)=Budget!$G$7,Budget!$F$7,0)</f>
        <v>0</v>
      </c>
      <c r="N404" s="17">
        <f>N("Car Insurance")-COUNTIF(Budget!$G$14, A404)*Budget!$F$14</f>
        <v>0</v>
      </c>
      <c r="O404" s="17">
        <f>N("Phone Bill")-COUNTIF(Budget!$G$15, A404)*Budget!$F$15</f>
        <v>0</v>
      </c>
      <c r="Q404" s="17">
        <f>N("Spotify")-IF(AND(DAY($A404)=Budget!$M$3, MONTH($A404)=Budget!$L$3),Budget!$K$3,0)</f>
        <v>0</v>
      </c>
      <c r="R404" s="17">
        <f>N("Spotify")-IF(AND(DAY($A404)=Budget!$M$4, MONTH($A404)=Budget!$L$4),Budget!$K$4,0)</f>
        <v>0</v>
      </c>
      <c r="S404" s="17">
        <f>N("Spotify")-IF(AND(DAY($A404)=Budget!$M$5, MONTH($A404)=Budget!$L$5),Budget!$K$5,0)</f>
        <v>0</v>
      </c>
      <c r="T404" s="17">
        <f>N("Amazon Prime")-IF(DAY(A404)=Budget!$Q$3,Budget!$P$3,0)</f>
        <v>0</v>
      </c>
      <c r="U404" s="17">
        <f>N("Audible")-IF(DAY(A404)=Budget!$Q$12,Budget!$P$12,0)</f>
        <v>0</v>
      </c>
      <c r="V404" s="17">
        <f>N("Crunchyroll")-IF(DAY(A404)=Budget!$Q$5,Budget!$P$5,0)</f>
        <v>0</v>
      </c>
      <c r="W404" s="17">
        <f>N("HBO Max")-IF(DAY(A404)=Budget!$Q$6,Budget!$P$6,0)</f>
        <v>0</v>
      </c>
      <c r="X404" s="17">
        <f>N("Netflix")-IF(DAY(A404)=Budget!$Q$7,Budget!$P$7,0)</f>
        <v>0</v>
      </c>
      <c r="Y404" s="17">
        <f>N("Spotify")-IF(DAY(A404)=Budget!$Q$8,Budget!$P$8,0)</f>
        <v>0</v>
      </c>
      <c r="Z404" s="17">
        <f>N("Truebill")-IF(DAY(A404)=Budget!$Q$9,Budget!$P$9,0)</f>
        <v>0</v>
      </c>
      <c r="AA404" s="6">
        <f t="shared" si="44"/>
        <v>0</v>
      </c>
    </row>
    <row r="405" spans="1:30" x14ac:dyDescent="0.3">
      <c r="A405" s="4">
        <f t="shared" si="46"/>
        <v>46017</v>
      </c>
      <c r="B405" s="2">
        <f t="shared" si="45"/>
        <v>5376.15</v>
      </c>
      <c r="C405" s="7">
        <f t="shared" si="47"/>
        <v>2</v>
      </c>
      <c r="D405" s="1">
        <v>0</v>
      </c>
      <c r="E405" s="17">
        <f>N("PAY-LM")+IF(WEEKDAY(A405)=Budget!$C$3,Budget!$B$3,0)</f>
        <v>1453</v>
      </c>
      <c r="F405" s="17">
        <f>N("Rent")-IF(DAY(A405)=Budget!$G$3,Budget!$F$3,0)</f>
        <v>0</v>
      </c>
      <c r="G405" s="17">
        <f>N("Car")-IF(DAY(A405)=Budget!$G$4,Budget!$F$4+Budget!$H$4,0)</f>
        <v>0</v>
      </c>
      <c r="H405" s="17">
        <f>N("Mom Rent")-IF(DAY(A405)=Budget!$G$5,Budget!$F$5,0)</f>
        <v>0</v>
      </c>
      <c r="I405" s="17">
        <f>N("AT&amp;T")-IF(DAY(A405)=Budget!$G$8,Budget!$F$8,0)</f>
        <v>0</v>
      </c>
      <c r="J405" s="17">
        <f>N("GA Power")-IF(DAY(A405)=Budget!$G$9,Budget!$F$9,0)</f>
        <v>0</v>
      </c>
      <c r="K405" s="17">
        <f>N("Haircut")-IF(DAY(A405)=Budget!$G$10,Budget!$F$10,0)</f>
        <v>-400</v>
      </c>
      <c r="L405" s="17">
        <f>N("Groceries")-IF(DAY(A405)=Budget!$G$6,Budget!$F$6,0)</f>
        <v>0</v>
      </c>
      <c r="M405" s="17">
        <f>N("Savings")-IF(DAY(A405)=Budget!$G$7,Budget!$F$7,0)</f>
        <v>0</v>
      </c>
      <c r="N405" s="17">
        <f>N("Car Insurance")-COUNTIF(Budget!$G$14, A405)*Budget!$F$14</f>
        <v>0</v>
      </c>
      <c r="O405" s="17">
        <f>N("Phone Bill")-COUNTIF(Budget!$G$15, A405)*Budget!$F$15</f>
        <v>0</v>
      </c>
      <c r="Q405" s="17">
        <f>N("Spotify")-IF(AND(DAY($A405)=Budget!$M$3, MONTH($A405)=Budget!$L$3),Budget!$K$3,0)</f>
        <v>0</v>
      </c>
      <c r="R405" s="17">
        <f>N("Spotify")-IF(AND(DAY($A405)=Budget!$M$4, MONTH($A405)=Budget!$L$4),Budget!$K$4,0)</f>
        <v>0</v>
      </c>
      <c r="S405" s="17">
        <f>N("Spotify")-IF(AND(DAY($A405)=Budget!$M$5, MONTH($A405)=Budget!$L$5),Budget!$K$5,0)</f>
        <v>0</v>
      </c>
      <c r="T405" s="17">
        <f>N("Amazon Prime")-IF(DAY(A405)=Budget!$Q$3,Budget!$P$3,0)</f>
        <v>0</v>
      </c>
      <c r="U405" s="17">
        <f>N("Audible")-IF(DAY(A405)=Budget!$Q$12,Budget!$P$12,0)</f>
        <v>0</v>
      </c>
      <c r="V405" s="17">
        <f>N("Crunchyroll")-IF(DAY(A405)=Budget!$Q$5,Budget!$P$5,0)</f>
        <v>0</v>
      </c>
      <c r="W405" s="17">
        <f>N("HBO Max")-IF(DAY(A405)=Budget!$Q$6,Budget!$P$6,0)</f>
        <v>0</v>
      </c>
      <c r="X405" s="17">
        <f>N("Netflix")-IF(DAY(A405)=Budget!$Q$7,Budget!$P$7,0)</f>
        <v>0</v>
      </c>
      <c r="Y405" s="17">
        <f>N("Spotify")-IF(DAY(A405)=Budget!$Q$8,Budget!$P$8,0)</f>
        <v>0</v>
      </c>
      <c r="Z405" s="17">
        <f>N("Truebill")-IF(DAY(A405)=Budget!$Q$9,Budget!$P$9,0)</f>
        <v>0</v>
      </c>
      <c r="AA405" s="6">
        <f t="shared" si="44"/>
        <v>1053</v>
      </c>
    </row>
    <row r="406" spans="1:30" x14ac:dyDescent="0.3">
      <c r="A406" s="4">
        <f t="shared" si="46"/>
        <v>46018</v>
      </c>
      <c r="B406" s="2">
        <f t="shared" si="45"/>
        <v>5376.15</v>
      </c>
      <c r="C406" s="7">
        <f t="shared" si="47"/>
        <v>1</v>
      </c>
      <c r="D406" s="1">
        <v>0</v>
      </c>
      <c r="E406" s="17">
        <f>N("PAY-LM")+IF(WEEKDAY(A406)=Budget!$C$3,Budget!$B$3,0)</f>
        <v>0</v>
      </c>
      <c r="F406" s="17">
        <f>N("Rent")-IF(DAY(A406)=Budget!$G$3,Budget!$F$3,0)</f>
        <v>0</v>
      </c>
      <c r="G406" s="17">
        <f>N("Car")-IF(DAY(A406)=Budget!$G$4,Budget!$F$4+Budget!$H$4,0)</f>
        <v>0</v>
      </c>
      <c r="H406" s="17">
        <f>N("Mom Rent")-IF(DAY(A406)=Budget!$G$5,Budget!$F$5,0)</f>
        <v>0</v>
      </c>
      <c r="I406" s="17">
        <f>N("AT&amp;T")-IF(DAY(A406)=Budget!$G$8,Budget!$F$8,0)</f>
        <v>0</v>
      </c>
      <c r="J406" s="17">
        <f>N("GA Power")-IF(DAY(A406)=Budget!$G$9,Budget!$F$9,0)</f>
        <v>0</v>
      </c>
      <c r="K406" s="17">
        <f>N("Haircut")-IF(DAY(A406)=Budget!$G$10,Budget!$F$10,0)</f>
        <v>0</v>
      </c>
      <c r="L406" s="17">
        <f>N("Groceries")-IF(DAY(A406)=Budget!$G$6,Budget!$F$6,0)</f>
        <v>0</v>
      </c>
      <c r="M406" s="17">
        <f>N("Savings")-IF(DAY(A406)=Budget!$G$7,Budget!$F$7,0)</f>
        <v>0</v>
      </c>
      <c r="N406" s="17">
        <f>N("Car Insurance")-COUNTIF(Budget!$G$14, A406)*Budget!$F$14</f>
        <v>0</v>
      </c>
      <c r="O406" s="17">
        <f>N("Phone Bill")-COUNTIF(Budget!$G$15, A406)*Budget!$F$15</f>
        <v>0</v>
      </c>
      <c r="Q406" s="17">
        <f>N("Spotify")-IF(AND(DAY($A406)=Budget!$M$3, MONTH($A406)=Budget!$L$3),Budget!$K$3,0)</f>
        <v>0</v>
      </c>
      <c r="R406" s="17">
        <f>N("Spotify")-IF(AND(DAY($A406)=Budget!$M$4, MONTH($A406)=Budget!$L$4),Budget!$K$4,0)</f>
        <v>0</v>
      </c>
      <c r="S406" s="17">
        <f>N("Spotify")-IF(AND(DAY($A406)=Budget!$M$5, MONTH($A406)=Budget!$L$5),Budget!$K$5,0)</f>
        <v>0</v>
      </c>
      <c r="T406" s="17">
        <f>N("Amazon Prime")-IF(DAY(A406)=Budget!$Q$3,Budget!$P$3,0)</f>
        <v>0</v>
      </c>
      <c r="U406" s="17">
        <f>N("Audible")-IF(DAY(A406)=Budget!$Q$12,Budget!$P$12,0)</f>
        <v>0</v>
      </c>
      <c r="V406" s="17">
        <f>N("Crunchyroll")-IF(DAY(A406)=Budget!$Q$5,Budget!$P$5,0)</f>
        <v>0</v>
      </c>
      <c r="W406" s="17">
        <f>N("HBO Max")-IF(DAY(A406)=Budget!$Q$6,Budget!$P$6,0)</f>
        <v>0</v>
      </c>
      <c r="X406" s="17">
        <f>N("Netflix")-IF(DAY(A406)=Budget!$Q$7,Budget!$P$7,0)</f>
        <v>0</v>
      </c>
      <c r="Y406" s="17">
        <f>N("Spotify")-IF(DAY(A406)=Budget!$Q$8,Budget!$P$8,0)</f>
        <v>0</v>
      </c>
      <c r="Z406" s="17">
        <f>N("Truebill")-IF(DAY(A406)=Budget!$Q$9,Budget!$P$9,0)</f>
        <v>0</v>
      </c>
      <c r="AA406" s="6">
        <f t="shared" si="44"/>
        <v>0</v>
      </c>
    </row>
    <row r="407" spans="1:30" x14ac:dyDescent="0.3">
      <c r="A407" s="4">
        <f t="shared" si="46"/>
        <v>46019</v>
      </c>
      <c r="B407" s="2">
        <f t="shared" si="45"/>
        <v>4226.1499999999996</v>
      </c>
      <c r="C407" s="7">
        <f t="shared" si="47"/>
        <v>0</v>
      </c>
      <c r="D407" s="1">
        <v>0</v>
      </c>
      <c r="E407" s="17">
        <f>N("PAY-LM")+IF(WEEKDAY(A407)=Budget!$C$3,Budget!$B$3,0)</f>
        <v>0</v>
      </c>
      <c r="F407" s="17">
        <f>N("Rent")-IF(DAY(A407)=Budget!$G$3,Budget!$F$3,0)</f>
        <v>0</v>
      </c>
      <c r="G407" s="17">
        <f>N("Car")-IF(DAY(A407)=Budget!$G$4,Budget!$F$4+Budget!$H$4,0)</f>
        <v>0</v>
      </c>
      <c r="H407" s="17">
        <f>N("Mom Rent")-IF(DAY(A407)=Budget!$G$5,Budget!$F$5,0)</f>
        <v>0</v>
      </c>
      <c r="I407" s="17">
        <f>N("AT&amp;T")-IF(DAY(A407)=Budget!$G$8,Budget!$F$8,0)</f>
        <v>0</v>
      </c>
      <c r="J407" s="17">
        <f>N("GA Power")-IF(DAY(A407)=Budget!$G$9,Budget!$F$9,0)</f>
        <v>0</v>
      </c>
      <c r="K407" s="17">
        <f>N("Haircut")-IF(DAY(A407)=Budget!$G$10,Budget!$F$10,0)</f>
        <v>0</v>
      </c>
      <c r="L407" s="17">
        <f>N("Groceries")-IF(DAY(A407)=Budget!$G$6,Budget!$F$6,0)</f>
        <v>0</v>
      </c>
      <c r="M407" s="17">
        <f>N("Savings")-IF(DAY(A407)=Budget!$G$7,Budget!$F$7,0)</f>
        <v>-1000</v>
      </c>
      <c r="N407" s="17">
        <f>N("Car Insurance")-COUNTIF(Budget!$G$14, A407)*Budget!$F$14</f>
        <v>0</v>
      </c>
      <c r="O407" s="17">
        <f>N("Phone Bill")-COUNTIF(Budget!$G$15, A407)*Budget!$F$15</f>
        <v>0</v>
      </c>
      <c r="Q407" s="17">
        <f>N("Spotify")-IF(AND(DAY($A407)=Budget!$M$3, MONTH($A407)=Budget!$L$3),Budget!$K$3,0)</f>
        <v>0</v>
      </c>
      <c r="R407" s="17">
        <f>N("Spotify")-IF(AND(DAY($A407)=Budget!$M$4, MONTH($A407)=Budget!$L$4),Budget!$K$4,0)</f>
        <v>0</v>
      </c>
      <c r="S407" s="17">
        <f>N("Spotify")-IF(AND(DAY($A407)=Budget!$M$5, MONTH($A407)=Budget!$L$5),Budget!$K$5,0)</f>
        <v>0</v>
      </c>
      <c r="T407" s="17">
        <f>N("Amazon Prime")-IF(DAY(A407)=Budget!$Q$3,Budget!$P$3,0)</f>
        <v>0</v>
      </c>
      <c r="U407" s="17">
        <f>N("Audible")-IF(DAY(A407)=Budget!$Q$12,Budget!$P$12,0)</f>
        <v>0</v>
      </c>
      <c r="V407" s="17">
        <f>N("Crunchyroll")-IF(DAY(A407)=Budget!$Q$5,Budget!$P$5,0)</f>
        <v>0</v>
      </c>
      <c r="W407" s="17">
        <f>N("HBO Max")-IF(DAY(A407)=Budget!$Q$6,Budget!$P$6,0)</f>
        <v>0</v>
      </c>
      <c r="X407" s="17">
        <f>N("Netflix")-IF(DAY(A407)=Budget!$Q$7,Budget!$P$7,0)</f>
        <v>0</v>
      </c>
      <c r="Y407" s="17">
        <f>N("Spotify")-IF(DAY(A407)=Budget!$Q$8,Budget!$P$8,0)</f>
        <v>-150</v>
      </c>
      <c r="Z407" s="17">
        <f>N("Truebill")-IF(DAY(A407)=Budget!$Q$9,Budget!$P$9,0)</f>
        <v>0</v>
      </c>
      <c r="AA407" s="6">
        <f t="shared" si="44"/>
        <v>-1150</v>
      </c>
    </row>
    <row r="408" spans="1:30" x14ac:dyDescent="0.3">
      <c r="A408" s="4">
        <f t="shared" si="46"/>
        <v>46020</v>
      </c>
      <c r="B408" s="2">
        <f t="shared" si="45"/>
        <v>4201.5499999999993</v>
      </c>
      <c r="C408" s="7">
        <f>IF(B408&gt;B407,2,IF(B408=B407, 1,0))</f>
        <v>0</v>
      </c>
      <c r="D408" s="1">
        <v>0</v>
      </c>
      <c r="E408" s="17">
        <f>N("PAY-LM")+IF(WEEKDAY(A408)=Budget!$C$3,Budget!$B$3,0)</f>
        <v>0</v>
      </c>
      <c r="F408" s="17">
        <f>N("Rent")-IF(DAY(A408)=Budget!$G$3,Budget!$F$3,0)</f>
        <v>0</v>
      </c>
      <c r="G408" s="17">
        <f>N("Car")-IF(DAY(A408)=Budget!$G$4,Budget!$F$4+Budget!$H$4,0)</f>
        <v>0</v>
      </c>
      <c r="H408" s="17">
        <f>N("Mom Rent")-IF(DAY(A408)=Budget!$G$5,Budget!$F$5,0)</f>
        <v>0</v>
      </c>
      <c r="I408" s="17">
        <f>N("AT&amp;T")-IF(DAY(A408)=Budget!$G$8,Budget!$F$8,0)</f>
        <v>0</v>
      </c>
      <c r="J408" s="17">
        <f>N("GA Power")-IF(DAY(A408)=Budget!$G$9,Budget!$F$9,0)</f>
        <v>0</v>
      </c>
      <c r="K408" s="17">
        <f>N("Haircut")-IF(DAY(A408)=Budget!$G$10,Budget!$F$10,0)</f>
        <v>0</v>
      </c>
      <c r="L408" s="17">
        <f>N("Groceries")-IF(DAY(A408)=Budget!$G$6,Budget!$F$6,0)</f>
        <v>0</v>
      </c>
      <c r="M408" s="17">
        <f>N("Savings")-IF(DAY(A408)=Budget!$G$7,Budget!$F$7,0)</f>
        <v>0</v>
      </c>
      <c r="N408" s="17">
        <f>N("Car Insurance")-COUNTIF(Budget!$G$14, A408)*Budget!$F$14</f>
        <v>0</v>
      </c>
      <c r="O408" s="17">
        <f>N("Phone Bill")-COUNTIF(Budget!$G$15, A408)*Budget!$F$15</f>
        <v>0</v>
      </c>
      <c r="Q408" s="17">
        <f>N("Spotify")-IF(AND(DAY($A408)=Budget!$M$3, MONTH($A408)=Budget!$L$3),Budget!$K$3,0)</f>
        <v>0</v>
      </c>
      <c r="R408" s="17">
        <f>N("Spotify")-IF(AND(DAY($A408)=Budget!$M$4, MONTH($A408)=Budget!$L$4),Budget!$K$4,0)</f>
        <v>0</v>
      </c>
      <c r="S408" s="17">
        <f>N("Spotify")-IF(AND(DAY($A408)=Budget!$M$5, MONTH($A408)=Budget!$L$5),Budget!$K$5,0)</f>
        <v>0</v>
      </c>
      <c r="T408" s="17">
        <f>N("Amazon Prime")-IF(DAY(A408)=Budget!$Q$3,Budget!$P$3,0)</f>
        <v>0</v>
      </c>
      <c r="U408" s="17">
        <f>N("Audible")-IF(DAY(A408)=Budget!$Q$12,Budget!$P$12,0)</f>
        <v>0</v>
      </c>
      <c r="V408" s="17">
        <f>N("Crunchyroll")-IF(DAY(A408)=Budget!$Q$5,Budget!$P$5,0)</f>
        <v>-24.6</v>
      </c>
      <c r="W408" s="17">
        <f>N("HBO Max")-IF(DAY(A408)=Budget!$Q$6,Budget!$P$6,0)</f>
        <v>0</v>
      </c>
      <c r="X408" s="17">
        <f>N("Netflix")-IF(DAY(A408)=Budget!$Q$7,Budget!$P$7,0)</f>
        <v>0</v>
      </c>
      <c r="Y408" s="17">
        <f>N("Spotify")-IF(DAY(A408)=Budget!$Q$8,Budget!$P$8,0)</f>
        <v>0</v>
      </c>
      <c r="Z408" s="17">
        <f>N("Truebill")-IF(DAY(A408)=Budget!$Q$9,Budget!$P$9,0)</f>
        <v>0</v>
      </c>
      <c r="AA408" s="6">
        <f t="shared" si="44"/>
        <v>-24.6</v>
      </c>
    </row>
    <row r="409" spans="1:30" x14ac:dyDescent="0.3">
      <c r="A409" s="4">
        <f t="shared" si="46"/>
        <v>46021</v>
      </c>
      <c r="B409" s="2">
        <f t="shared" si="45"/>
        <v>4201.5499999999993</v>
      </c>
      <c r="C409" s="7">
        <f>IF(B409&gt;B408,2,IF(B409=B408, 1,0))</f>
        <v>1</v>
      </c>
      <c r="D409" s="1">
        <v>0</v>
      </c>
      <c r="E409" s="17">
        <f>N("PAY-LM")+IF(WEEKDAY(A409)=Budget!$C$3,Budget!$B$3,0)</f>
        <v>0</v>
      </c>
      <c r="F409" s="17">
        <f>N("Rent")-IF(DAY(A409)=Budget!$G$3,Budget!$F$3,0)</f>
        <v>0</v>
      </c>
      <c r="G409" s="17">
        <f>N("Car")-IF(DAY(A409)=Budget!$G$4,Budget!$F$4+Budget!$H$4,0)</f>
        <v>0</v>
      </c>
      <c r="H409" s="17">
        <f>N("Mom Rent")-IF(DAY(A409)=Budget!$G$5,Budget!$F$5,0)</f>
        <v>0</v>
      </c>
      <c r="I409" s="17">
        <f>N("AT&amp;T")-IF(DAY(A409)=Budget!$G$8,Budget!$F$8,0)</f>
        <v>0</v>
      </c>
      <c r="J409" s="17">
        <f>N("GA Power")-IF(DAY(A409)=Budget!$G$9,Budget!$F$9,0)</f>
        <v>0</v>
      </c>
      <c r="K409" s="17">
        <f>N("Haircut")-IF(DAY(A409)=Budget!$G$10,Budget!$F$10,0)</f>
        <v>0</v>
      </c>
      <c r="L409" s="17">
        <f>N("Groceries")-IF(DAY(A409)=Budget!$G$6,Budget!$F$6,0)</f>
        <v>0</v>
      </c>
      <c r="M409" s="17">
        <f>N("Savings")-IF(DAY(A409)=Budget!$G$7,Budget!$F$7,0)</f>
        <v>0</v>
      </c>
      <c r="N409" s="17">
        <f>N("Car Insurance")-COUNTIF(Budget!$G$14, A409)*Budget!$F$14</f>
        <v>0</v>
      </c>
      <c r="O409" s="17">
        <f>N("Phone Bill")-COUNTIF(Budget!$G$15, A409)*Budget!$F$15</f>
        <v>0</v>
      </c>
      <c r="Q409" s="17">
        <f>N("Spotify")-IF(AND(DAY($A409)=Budget!$M$3, MONTH($A409)=Budget!$L$3),Budget!$K$3,0)</f>
        <v>0</v>
      </c>
      <c r="R409" s="17">
        <f>N("Spotify")-IF(AND(DAY($A409)=Budget!$M$4, MONTH($A409)=Budget!$L$4),Budget!$K$4,0)</f>
        <v>0</v>
      </c>
      <c r="S409" s="17">
        <f>N("Spotify")-IF(AND(DAY($A409)=Budget!$M$5, MONTH($A409)=Budget!$L$5),Budget!$K$5,0)</f>
        <v>0</v>
      </c>
      <c r="T409" s="17">
        <f>N("Amazon Prime")-IF(DAY(A409)=Budget!$Q$3,Budget!$P$3,0)</f>
        <v>0</v>
      </c>
      <c r="U409" s="17">
        <f>N("Audible")-IF(DAY(A409)=Budget!$Q$12,Budget!$P$12,0)</f>
        <v>0</v>
      </c>
      <c r="V409" s="17">
        <f>N("Crunchyroll")-IF(DAY(A409)=Budget!$Q$5,Budget!$P$5,0)</f>
        <v>0</v>
      </c>
      <c r="W409" s="17">
        <f>N("HBO Max")-IF(DAY(A409)=Budget!$Q$6,Budget!$P$6,0)</f>
        <v>0</v>
      </c>
      <c r="X409" s="17">
        <f>N("Netflix")-IF(DAY(A409)=Budget!$Q$7,Budget!$P$7,0)</f>
        <v>0</v>
      </c>
      <c r="Y409" s="17">
        <f>N("Spotify")-IF(DAY(A409)=Budget!$Q$8,Budget!$P$8,0)</f>
        <v>0</v>
      </c>
      <c r="Z409" s="17">
        <f>N("Truebill")-IF(DAY(A409)=Budget!$Q$9,Budget!$P$9,0)</f>
        <v>0</v>
      </c>
      <c r="AA409" s="6">
        <f t="shared" si="44"/>
        <v>0</v>
      </c>
    </row>
    <row r="410" spans="1:30" x14ac:dyDescent="0.3">
      <c r="A410" s="4">
        <f t="shared" si="46"/>
        <v>46022</v>
      </c>
      <c r="B410" s="2">
        <f t="shared" si="45"/>
        <v>4201.5499999999993</v>
      </c>
      <c r="C410" s="7">
        <f>IF(B410&gt;B409,2,IF(B410=B409, 1,0))</f>
        <v>1</v>
      </c>
      <c r="D410" s="1">
        <v>0</v>
      </c>
      <c r="E410" s="17">
        <f>N("PAY-LM")+IF(WEEKDAY(A410)=Budget!$C$3,Budget!$B$3,0)</f>
        <v>0</v>
      </c>
      <c r="F410" s="17">
        <f>N("Rent")-IF(DAY(A410)=Budget!$G$3,Budget!$F$3,0)</f>
        <v>0</v>
      </c>
      <c r="G410" s="17">
        <f>N("Car")-IF(DAY(A410)=Budget!$G$4,Budget!$F$4+Budget!$H$4,0)</f>
        <v>0</v>
      </c>
      <c r="H410" s="17">
        <f>N("Mom Rent")-IF(DAY(A410)=Budget!$G$5,Budget!$F$5,0)</f>
        <v>0</v>
      </c>
      <c r="I410" s="17">
        <f>N("AT&amp;T")-IF(DAY(A410)=Budget!$G$8,Budget!$F$8,0)</f>
        <v>0</v>
      </c>
      <c r="J410" s="17">
        <f>N("GA Power")-IF(DAY(A410)=Budget!$G$9,Budget!$F$9,0)</f>
        <v>0</v>
      </c>
      <c r="K410" s="17">
        <f>N("Haircut")-IF(DAY(A410)=Budget!$G$10,Budget!$F$10,0)</f>
        <v>0</v>
      </c>
      <c r="L410" s="17">
        <f>N("Groceries")-IF(DAY(A410)=Budget!$G$6,Budget!$F$6,0)</f>
        <v>0</v>
      </c>
      <c r="M410" s="17">
        <f>N("Savings")-IF(DAY(A410)=Budget!$G$7,Budget!$F$7,0)</f>
        <v>0</v>
      </c>
      <c r="N410" s="17">
        <f>N("Car Insurance")-COUNTIF(Budget!$G$14, A410)*Budget!$F$14</f>
        <v>0</v>
      </c>
      <c r="O410" s="17">
        <f>N("Phone Bill")-COUNTIF(Budget!$G$15, A410)*Budget!$F$15</f>
        <v>0</v>
      </c>
      <c r="Q410" s="17">
        <f>N("Spotify")-IF(AND(DAY($A410)=Budget!$M$3, MONTH($A410)=Budget!$L$3),Budget!$K$3,0)</f>
        <v>0</v>
      </c>
      <c r="R410" s="17">
        <f>N("Spotify")-IF(AND(DAY($A410)=Budget!$M$4, MONTH($A410)=Budget!$L$4),Budget!$K$4,0)</f>
        <v>0</v>
      </c>
      <c r="S410" s="17">
        <f>N("Spotify")-IF(AND(DAY($A410)=Budget!$M$5, MONTH($A410)=Budget!$L$5),Budget!$K$5,0)</f>
        <v>0</v>
      </c>
      <c r="T410" s="17">
        <f>N("Amazon Prime")-IF(DAY(A410)=Budget!$Q$3,Budget!$P$3,0)</f>
        <v>0</v>
      </c>
      <c r="U410" s="17">
        <f>N("Audible")-IF(DAY(A410)=Budget!$Q$12,Budget!$P$12,0)</f>
        <v>0</v>
      </c>
      <c r="V410" s="17">
        <f>N("Crunchyroll")-IF(DAY(A410)=Budget!$Q$5,Budget!$P$5,0)</f>
        <v>0</v>
      </c>
      <c r="W410" s="17">
        <f>N("HBO Max")-IF(DAY(A410)=Budget!$Q$6,Budget!$P$6,0)</f>
        <v>0</v>
      </c>
      <c r="X410" s="17">
        <f>N("Netflix")-IF(DAY(A410)=Budget!$Q$7,Budget!$P$7,0)</f>
        <v>0</v>
      </c>
      <c r="Y410" s="17">
        <f>N("Spotify")-IF(DAY(A410)=Budget!$Q$8,Budget!$P$8,0)</f>
        <v>0</v>
      </c>
      <c r="Z410" s="17">
        <f>N("Truebill")-IF(DAY(A410)=Budget!$Q$9,Budget!$P$9,0)</f>
        <v>0</v>
      </c>
      <c r="AA410" s="6">
        <f t="shared" si="44"/>
        <v>0</v>
      </c>
    </row>
    <row r="412" spans="1:30" x14ac:dyDescent="0.3">
      <c r="D412" s="40" t="s">
        <v>17</v>
      </c>
      <c r="E412" s="41" t="s">
        <v>15</v>
      </c>
      <c r="F412" s="41"/>
      <c r="G412" s="41"/>
      <c r="H412" s="41"/>
      <c r="I412" s="41"/>
      <c r="J412" s="41"/>
      <c r="K412" s="41"/>
      <c r="L412" s="41"/>
      <c r="M412" s="41"/>
      <c r="N412" s="42" t="str">
        <f>Budget!$E$12</f>
        <v>Annual Expenses</v>
      </c>
      <c r="O412" s="42"/>
      <c r="Q412" s="43" t="s">
        <v>36</v>
      </c>
      <c r="R412" s="43"/>
      <c r="S412" s="43"/>
      <c r="T412" s="41" t="s">
        <v>8</v>
      </c>
      <c r="U412" s="41"/>
      <c r="V412" s="41"/>
      <c r="W412" s="41"/>
      <c r="X412" s="41"/>
      <c r="Y412" s="41"/>
      <c r="Z412" s="41"/>
      <c r="AA412" s="10" t="s">
        <v>16</v>
      </c>
      <c r="AC412" s="6">
        <f>SUMIF(D414:Z443,"&lt;0")</f>
        <v>-5121.42</v>
      </c>
      <c r="AD412" s="6">
        <f>SUM(E414:E443)</f>
        <v>7265</v>
      </c>
    </row>
    <row r="413" spans="1:30" x14ac:dyDescent="0.3">
      <c r="A413" s="39">
        <f>EDATE(A379,1)</f>
        <v>46023</v>
      </c>
      <c r="B413" s="39"/>
      <c r="D413" s="40"/>
      <c r="E413" s="18" t="str">
        <f>Budget!$A$3</f>
        <v>PAY-LM</v>
      </c>
      <c r="F413" t="str">
        <f>Budget!$E$3</f>
        <v>Rent</v>
      </c>
      <c r="G413" t="str">
        <f>Budget!$E$4</f>
        <v>Car</v>
      </c>
      <c r="H413" t="str">
        <f>Budget!$E$5</f>
        <v>Mom Rent</v>
      </c>
      <c r="I413" t="str">
        <f>Budget!$E$8</f>
        <v>AT&amp;T</v>
      </c>
      <c r="J413" t="str">
        <f>Budget!$E$9</f>
        <v>GA Power</v>
      </c>
      <c r="K413" t="str">
        <f>Budget!$E$10</f>
        <v>TH</v>
      </c>
      <c r="L413" t="str">
        <f>Budget!$E$6</f>
        <v>Groceries</v>
      </c>
      <c r="M413" s="16" t="str">
        <f>Budget!$E$7</f>
        <v>Savings</v>
      </c>
      <c r="N413" t="str">
        <f>Budget!$E$14</f>
        <v>Car Insurance</v>
      </c>
      <c r="O413" t="str">
        <f>Budget!$E$15</f>
        <v>Phone Bill</v>
      </c>
      <c r="Q413" t="str">
        <f>Budget!$J$3</f>
        <v>Capital One</v>
      </c>
      <c r="R413" t="str">
        <f>Budget!$J$4</f>
        <v>Chase</v>
      </c>
      <c r="S413" t="str">
        <f>Budget!$J$5</f>
        <v>NFCU</v>
      </c>
      <c r="T413" t="str">
        <f>Budget!$O$3</f>
        <v>Amazon Prime</v>
      </c>
      <c r="U413" t="str">
        <f>Budget!$O$12</f>
        <v>Audible</v>
      </c>
      <c r="V413" t="str">
        <f>Budget!$O$5</f>
        <v>Netflix</v>
      </c>
      <c r="W413" t="str">
        <f>Budget!$O$6</f>
        <v>Spotify</v>
      </c>
      <c r="X413" t="str">
        <f>Budget!$O$7</f>
        <v>Rocket Money</v>
      </c>
      <c r="Y413" t="str">
        <f>Budget!$O$8</f>
        <v>Little4Much</v>
      </c>
      <c r="Z413" t="str">
        <f>Budget!$O$9</f>
        <v>None</v>
      </c>
      <c r="AA413" s="10"/>
      <c r="AC413" s="3">
        <f>AD412+AC412</f>
        <v>2143.58</v>
      </c>
    </row>
    <row r="414" spans="1:30" x14ac:dyDescent="0.3">
      <c r="A414" s="4">
        <f>A413</f>
        <v>46023</v>
      </c>
      <c r="B414" s="2">
        <f>B409+AA414</f>
        <v>2468.5499999999993</v>
      </c>
      <c r="C414" s="7">
        <f>IF(B414&gt;B409,2,IF(B414=B409, 1,0))</f>
        <v>0</v>
      </c>
      <c r="D414" s="1">
        <v>0</v>
      </c>
      <c r="E414" s="17">
        <f>N("PAY-LM")+IF(WEEKDAY(A414)=Budget!$C$3,Budget!$B$3,0)</f>
        <v>0</v>
      </c>
      <c r="F414" s="17">
        <f>N("Rent")-IF(DAY(A414)=Budget!$G$3,Budget!$F$3,0)</f>
        <v>-1733</v>
      </c>
      <c r="G414" s="17">
        <f>N("Car")-IF(DAY(A414)=Budget!$G$4,Budget!$F$4+Budget!$H$4,0)</f>
        <v>0</v>
      </c>
      <c r="H414" s="17">
        <f>N("Mom Rent")-IF(DAY(A414)=Budget!$G$5,Budget!$F$5,0)</f>
        <v>0</v>
      </c>
      <c r="I414" s="17">
        <f>N("AT&amp;T")-IF(DAY(A414)=Budget!$G$8,Budget!$F$8,0)</f>
        <v>0</v>
      </c>
      <c r="J414" s="17">
        <f>N("GA Power")-IF(DAY(A414)=Budget!$G$9,Budget!$F$9,0)</f>
        <v>0</v>
      </c>
      <c r="K414" s="17">
        <f>N("Haircut")-IF(DAY(A414)=Budget!$G$10,Budget!$F$10,0)</f>
        <v>0</v>
      </c>
      <c r="L414" s="17">
        <f>N("Groceries")-IF(DAY(A414)=Budget!$G$6,Budget!$F$6,0)</f>
        <v>0</v>
      </c>
      <c r="M414" s="17">
        <f>N("Savings")-IF(DAY(A414)=Budget!$G$7,Budget!$F$7,0)</f>
        <v>0</v>
      </c>
      <c r="N414" s="17">
        <f>N("Car Insurance")-COUNTIF(Budget!$G$14, A414)*Budget!$F$14</f>
        <v>0</v>
      </c>
      <c r="O414" s="17">
        <f>N("Phone Bill")-COUNTIF(Budget!$G$15, A414)*Budget!$F$15</f>
        <v>0</v>
      </c>
      <c r="Q414" s="17">
        <f>N("Spotify")-IF(AND(DAY($A414)=Budget!$M$3, MONTH($A414)=Budget!$L$3),Budget!$K$3,0)</f>
        <v>0</v>
      </c>
      <c r="R414" s="17">
        <f>N("Spotify")-IF(AND(DAY($A414)=Budget!$M$4, MONTH($A414)=Budget!$L$4),Budget!$K$4,0)</f>
        <v>0</v>
      </c>
      <c r="S414" s="17">
        <f>N("Spotify")-IF(AND(DAY($A414)=Budget!$M$5, MONTH($A414)=Budget!$L$5),Budget!$K$5,0)</f>
        <v>0</v>
      </c>
      <c r="T414" s="17">
        <f>N("Amazon Prime")-IF(DAY(A414)=Budget!$Q$3,Budget!$P$3,0)</f>
        <v>0</v>
      </c>
      <c r="U414" s="17">
        <f>N("Audible")-IF(DAY(A414)=Budget!$Q$12,Budget!$P$12,0)</f>
        <v>0</v>
      </c>
      <c r="V414" s="17">
        <f>N("Crunchyroll")-IF(DAY(A414)=Budget!$Q$5,Budget!$P$5,0)</f>
        <v>0</v>
      </c>
      <c r="W414" s="17">
        <f>N("HBO Max")-IF(DAY(A414)=Budget!$Q$6,Budget!$P$6,0)</f>
        <v>0</v>
      </c>
      <c r="X414" s="17">
        <f>N("Netflix")-IF(DAY(A414)=Budget!$Q$7,Budget!$P$7,0)</f>
        <v>0</v>
      </c>
      <c r="Y414" s="17">
        <f>N("Spotify")-IF(DAY(A414)=Budget!$Q$8,Budget!$P$8,0)</f>
        <v>0</v>
      </c>
      <c r="Z414" s="17">
        <f>N("Truebill")-IF(DAY(A414)=Budget!$Q$9,Budget!$P$9,0)</f>
        <v>0</v>
      </c>
      <c r="AA414" s="6">
        <f t="shared" ref="AA414:AA443" si="48">SUM(D414:Z414)</f>
        <v>-1733</v>
      </c>
    </row>
    <row r="415" spans="1:30" x14ac:dyDescent="0.3">
      <c r="A415" s="4">
        <f>A414+1</f>
        <v>46024</v>
      </c>
      <c r="B415" s="2">
        <f t="shared" ref="B415:B443" si="49">B414+AA415</f>
        <v>3118.1999999999994</v>
      </c>
      <c r="C415" s="7">
        <f>IF(B415&gt;B414,2,IF(B415=B414, 1,0))</f>
        <v>2</v>
      </c>
      <c r="D415" s="1">
        <v>0</v>
      </c>
      <c r="E415" s="17">
        <f>N("PAY-LM")+IF(WEEKDAY(A415)=Budget!$C$3,Budget!$B$3,0)</f>
        <v>1453</v>
      </c>
      <c r="F415" s="17">
        <f>N("Rent")-IF(DAY(A415)=Budget!$G$3,Budget!$F$3,0)</f>
        <v>0</v>
      </c>
      <c r="G415" s="17">
        <f>N("Car")-IF(DAY(A415)=Budget!$G$4,Budget!$F$4+Budget!$H$4,0)</f>
        <v>-503.35</v>
      </c>
      <c r="H415" s="17">
        <f>N("Mom Rent")-IF(DAY(A415)=Budget!$G$5,Budget!$F$5,0)</f>
        <v>0</v>
      </c>
      <c r="I415" s="17">
        <f>N("AT&amp;T")-IF(DAY(A415)=Budget!$G$8,Budget!$F$8,0)</f>
        <v>0</v>
      </c>
      <c r="J415" s="17">
        <f>N("GA Power")-IF(DAY(A415)=Budget!$G$9,Budget!$F$9,0)</f>
        <v>0</v>
      </c>
      <c r="K415" s="17">
        <f>N("Haircut")-IF(DAY(A415)=Budget!$G$10,Budget!$F$10,0)</f>
        <v>0</v>
      </c>
      <c r="L415" s="17">
        <f>N("Groceries")-IF(DAY(A415)=Budget!$G$6,Budget!$F$6,0)</f>
        <v>-300</v>
      </c>
      <c r="M415" s="17">
        <f>N("Savings")-IF(DAY(A415)=Budget!$G$7,Budget!$F$7,0)</f>
        <v>0</v>
      </c>
      <c r="N415" s="17">
        <f>N("Car Insurance")-COUNTIF(Budget!$G$14, A415)*Budget!$F$14</f>
        <v>0</v>
      </c>
      <c r="O415" s="17">
        <f>N("Phone Bill")-COUNTIF(Budget!$G$15, A415)*Budget!$F$15</f>
        <v>0</v>
      </c>
      <c r="Q415" s="17">
        <f>N("Spotify")-IF(AND(DAY($A415)=Budget!$M$3, MONTH($A415)=Budget!$L$3),Budget!$K$3,0)</f>
        <v>0</v>
      </c>
      <c r="R415" s="17">
        <f>N("Spotify")-IF(AND(DAY($A415)=Budget!$M$4, MONTH($A415)=Budget!$L$4),Budget!$K$4,0)</f>
        <v>0</v>
      </c>
      <c r="S415" s="17">
        <f>N("Spotify")-IF(AND(DAY($A415)=Budget!$M$5, MONTH($A415)=Budget!$L$5),Budget!$K$5,0)</f>
        <v>0</v>
      </c>
      <c r="T415" s="17">
        <f>N("Amazon Prime")-IF(DAY(A415)=Budget!$Q$3,Budget!$P$3,0)</f>
        <v>0</v>
      </c>
      <c r="U415" s="17">
        <f>N("Audible")-IF(DAY(A415)=Budget!$Q$12,Budget!$P$12,0)</f>
        <v>0</v>
      </c>
      <c r="V415" s="17">
        <f>N("Crunchyroll")-IF(DAY(A415)=Budget!$Q$5,Budget!$P$5,0)</f>
        <v>0</v>
      </c>
      <c r="W415" s="17">
        <f>N("HBO Max")-IF(DAY(A415)=Budget!$Q$6,Budget!$P$6,0)</f>
        <v>0</v>
      </c>
      <c r="X415" s="17">
        <f>N("Netflix")-IF(DAY(A415)=Budget!$Q$7,Budget!$P$7,0)</f>
        <v>0</v>
      </c>
      <c r="Y415" s="17">
        <f>N("Spotify")-IF(DAY(A415)=Budget!$Q$8,Budget!$P$8,0)</f>
        <v>0</v>
      </c>
      <c r="Z415" s="17">
        <f>N("Truebill")-IF(DAY(A415)=Budget!$Q$9,Budget!$P$9,0)</f>
        <v>0</v>
      </c>
      <c r="AA415" s="6">
        <f t="shared" si="48"/>
        <v>649.65</v>
      </c>
    </row>
    <row r="416" spans="1:30" x14ac:dyDescent="0.3">
      <c r="A416" s="4">
        <f t="shared" ref="A416:A443" si="50">A415+1</f>
        <v>46025</v>
      </c>
      <c r="B416" s="2">
        <f t="shared" si="49"/>
        <v>3118.1999999999994</v>
      </c>
      <c r="C416" s="7">
        <f t="shared" ref="C416:C441" si="51">IF(B416&gt;B415,2,IF(B416=B415, 1,0))</f>
        <v>1</v>
      </c>
      <c r="D416" s="1">
        <v>0</v>
      </c>
      <c r="E416" s="17">
        <f>N("PAY-LM")+IF(WEEKDAY(A416)=Budget!$C$3,Budget!$B$3,0)</f>
        <v>0</v>
      </c>
      <c r="F416" s="17">
        <f>N("Rent")-IF(DAY(A416)=Budget!$G$3,Budget!$F$3,0)</f>
        <v>0</v>
      </c>
      <c r="G416" s="17">
        <f>N("Car")-IF(DAY(A416)=Budget!$G$4,Budget!$F$4+Budget!$H$4,0)</f>
        <v>0</v>
      </c>
      <c r="H416" s="17">
        <f>N("Mom Rent")-IF(DAY(A416)=Budget!$G$5,Budget!$F$5,0)</f>
        <v>0</v>
      </c>
      <c r="I416" s="17">
        <f>N("AT&amp;T")-IF(DAY(A416)=Budget!$G$8,Budget!$F$8,0)</f>
        <v>0</v>
      </c>
      <c r="J416" s="17">
        <f>N("GA Power")-IF(DAY(A416)=Budget!$G$9,Budget!$F$9,0)</f>
        <v>0</v>
      </c>
      <c r="K416" s="17">
        <f>N("Haircut")-IF(DAY(A416)=Budget!$G$10,Budget!$F$10,0)</f>
        <v>0</v>
      </c>
      <c r="L416" s="17">
        <f>N("Groceries")-IF(DAY(A416)=Budget!$G$6,Budget!$F$6,0)</f>
        <v>0</v>
      </c>
      <c r="M416" s="17">
        <f>N("Savings")-IF(DAY(A416)=Budget!$G$7,Budget!$F$7,0)</f>
        <v>0</v>
      </c>
      <c r="N416" s="17">
        <f>N("Car Insurance")-COUNTIF(Budget!$G$14, A416)*Budget!$F$14</f>
        <v>0</v>
      </c>
      <c r="O416" s="17">
        <f>N("Phone Bill")-COUNTIF(Budget!$G$15, A416)*Budget!$F$15</f>
        <v>0</v>
      </c>
      <c r="Q416" s="17">
        <f>N("Spotify")-IF(AND(DAY($A416)=Budget!$M$3, MONTH($A416)=Budget!$L$3),Budget!$K$3,0)</f>
        <v>0</v>
      </c>
      <c r="R416" s="17">
        <f>N("Spotify")-IF(AND(DAY($A416)=Budget!$M$4, MONTH($A416)=Budget!$L$4),Budget!$K$4,0)</f>
        <v>0</v>
      </c>
      <c r="S416" s="17">
        <f>N("Spotify")-IF(AND(DAY($A416)=Budget!$M$5, MONTH($A416)=Budget!$L$5),Budget!$K$5,0)</f>
        <v>0</v>
      </c>
      <c r="T416" s="17">
        <f>N("Amazon Prime")-IF(DAY(A416)=Budget!$Q$3,Budget!$P$3,0)</f>
        <v>0</v>
      </c>
      <c r="U416" s="17">
        <f>N("Audible")-IF(DAY(A416)=Budget!$Q$12,Budget!$P$12,0)</f>
        <v>0</v>
      </c>
      <c r="V416" s="17">
        <f>N("Crunchyroll")-IF(DAY(A416)=Budget!$Q$5,Budget!$P$5,0)</f>
        <v>0</v>
      </c>
      <c r="W416" s="17">
        <f>N("HBO Max")-IF(DAY(A416)=Budget!$Q$6,Budget!$P$6,0)</f>
        <v>0</v>
      </c>
      <c r="X416" s="17">
        <f>N("Netflix")-IF(DAY(A416)=Budget!$Q$7,Budget!$P$7,0)</f>
        <v>0</v>
      </c>
      <c r="Y416" s="17">
        <f>N("Spotify")-IF(DAY(A416)=Budget!$Q$8,Budget!$P$8,0)</f>
        <v>0</v>
      </c>
      <c r="Z416" s="17">
        <f>N("Truebill")-IF(DAY(A416)=Budget!$Q$9,Budget!$P$9,0)</f>
        <v>0</v>
      </c>
      <c r="AA416" s="6">
        <f t="shared" si="48"/>
        <v>0</v>
      </c>
    </row>
    <row r="417" spans="1:27" x14ac:dyDescent="0.3">
      <c r="A417" s="4">
        <f t="shared" si="50"/>
        <v>46026</v>
      </c>
      <c r="B417" s="2">
        <f t="shared" si="49"/>
        <v>3118.1999999999994</v>
      </c>
      <c r="C417" s="7">
        <f t="shared" si="51"/>
        <v>1</v>
      </c>
      <c r="D417" s="1">
        <v>0</v>
      </c>
      <c r="E417" s="17">
        <f>N("PAY-LM")+IF(WEEKDAY(A417)=Budget!$C$3,Budget!$B$3,0)</f>
        <v>0</v>
      </c>
      <c r="F417" s="17">
        <f>N("Rent")-IF(DAY(A417)=Budget!$G$3,Budget!$F$3,0)</f>
        <v>0</v>
      </c>
      <c r="G417" s="17">
        <f>N("Car")-IF(DAY(A417)=Budget!$G$4,Budget!$F$4+Budget!$H$4,0)</f>
        <v>0</v>
      </c>
      <c r="H417" s="17">
        <f>N("Mom Rent")-IF(DAY(A417)=Budget!$G$5,Budget!$F$5,0)</f>
        <v>0</v>
      </c>
      <c r="I417" s="17">
        <f>N("AT&amp;T")-IF(DAY(A417)=Budget!$G$8,Budget!$F$8,0)</f>
        <v>0</v>
      </c>
      <c r="J417" s="17">
        <f>N("GA Power")-IF(DAY(A417)=Budget!$G$9,Budget!$F$9,0)</f>
        <v>0</v>
      </c>
      <c r="K417" s="17">
        <f>N("Haircut")-IF(DAY(A417)=Budget!$G$10,Budget!$F$10,0)</f>
        <v>0</v>
      </c>
      <c r="L417" s="17">
        <f>N("Groceries")-IF(DAY(A417)=Budget!$G$6,Budget!$F$6,0)</f>
        <v>0</v>
      </c>
      <c r="M417" s="17">
        <f>N("Savings")-IF(DAY(A417)=Budget!$G$7,Budget!$F$7,0)</f>
        <v>0</v>
      </c>
      <c r="N417" s="17">
        <f>N("Car Insurance")-COUNTIF(Budget!$G$14, A417)*Budget!$F$14</f>
        <v>0</v>
      </c>
      <c r="O417" s="17">
        <f>N("Phone Bill")-COUNTIF(Budget!$G$15, A417)*Budget!$F$15</f>
        <v>0</v>
      </c>
      <c r="Q417" s="17">
        <f>N("Spotify")-IF(AND(DAY($A417)=Budget!$M$3, MONTH($A417)=Budget!$L$3),Budget!$K$3,0)</f>
        <v>0</v>
      </c>
      <c r="R417" s="17">
        <f>N("Spotify")-IF(AND(DAY($A417)=Budget!$M$4, MONTH($A417)=Budget!$L$4),Budget!$K$4,0)</f>
        <v>0</v>
      </c>
      <c r="S417" s="17">
        <f>N("Spotify")-IF(AND(DAY($A417)=Budget!$M$5, MONTH($A417)=Budget!$L$5),Budget!$K$5,0)</f>
        <v>0</v>
      </c>
      <c r="T417" s="17">
        <f>N("Amazon Prime")-IF(DAY(A417)=Budget!$Q$3,Budget!$P$3,0)</f>
        <v>0</v>
      </c>
      <c r="U417" s="17">
        <f>N("Audible")-IF(DAY(A417)=Budget!$Q$12,Budget!$P$12,0)</f>
        <v>0</v>
      </c>
      <c r="V417" s="17">
        <f>N("Crunchyroll")-IF(DAY(A417)=Budget!$Q$5,Budget!$P$5,0)</f>
        <v>0</v>
      </c>
      <c r="W417" s="17">
        <f>N("HBO Max")-IF(DAY(A417)=Budget!$Q$6,Budget!$P$6,0)</f>
        <v>0</v>
      </c>
      <c r="X417" s="17">
        <f>N("Netflix")-IF(DAY(A417)=Budget!$Q$7,Budget!$P$7,0)</f>
        <v>0</v>
      </c>
      <c r="Y417" s="17">
        <f>N("Spotify")-IF(DAY(A417)=Budget!$Q$8,Budget!$P$8,0)</f>
        <v>0</v>
      </c>
      <c r="Z417" s="17">
        <f>N("Truebill")-IF(DAY(A417)=Budget!$Q$9,Budget!$P$9,0)</f>
        <v>0</v>
      </c>
      <c r="AA417" s="6">
        <f t="shared" si="48"/>
        <v>0</v>
      </c>
    </row>
    <row r="418" spans="1:27" x14ac:dyDescent="0.3">
      <c r="A418" s="4">
        <f t="shared" si="50"/>
        <v>46027</v>
      </c>
      <c r="B418" s="2">
        <f t="shared" si="49"/>
        <v>3048.1999999999994</v>
      </c>
      <c r="C418" s="7">
        <f t="shared" si="51"/>
        <v>0</v>
      </c>
      <c r="D418" s="1">
        <v>0</v>
      </c>
      <c r="E418" s="17">
        <f>N("PAY-LM")+IF(WEEKDAY(A418)=Budget!$C$3,Budget!$B$3,0)</f>
        <v>0</v>
      </c>
      <c r="F418" s="17">
        <f>N("Rent")-IF(DAY(A418)=Budget!$G$3,Budget!$F$3,0)</f>
        <v>0</v>
      </c>
      <c r="G418" s="17">
        <f>N("Car")-IF(DAY(A418)=Budget!$G$4,Budget!$F$4+Budget!$H$4,0)</f>
        <v>0</v>
      </c>
      <c r="H418" s="17">
        <f>N("Mom Rent")-IF(DAY(A418)=Budget!$G$5,Budget!$F$5,0)</f>
        <v>0</v>
      </c>
      <c r="I418" s="17">
        <f>N("AT&amp;T")-IF(DAY(A418)=Budget!$G$8,Budget!$F$8,0)</f>
        <v>0</v>
      </c>
      <c r="J418" s="17">
        <f>N("GA Power")-IF(DAY(A418)=Budget!$G$9,Budget!$F$9,0)</f>
        <v>-70</v>
      </c>
      <c r="K418" s="17">
        <f>N("Haircut")-IF(DAY(A418)=Budget!$G$10,Budget!$F$10,0)</f>
        <v>0</v>
      </c>
      <c r="L418" s="17">
        <f>N("Groceries")-IF(DAY(A418)=Budget!$G$6,Budget!$F$6,0)</f>
        <v>0</v>
      </c>
      <c r="M418" s="17">
        <f>N("Savings")-IF(DAY(A418)=Budget!$G$7,Budget!$F$7,0)</f>
        <v>0</v>
      </c>
      <c r="N418" s="17">
        <f>N("Car Insurance")-COUNTIF(Budget!$G$14, A418)*Budget!$F$14</f>
        <v>0</v>
      </c>
      <c r="O418" s="17">
        <f>N("Phone Bill")-COUNTIF(Budget!$G$15, A418)*Budget!$F$15</f>
        <v>0</v>
      </c>
      <c r="Q418" s="17">
        <f>N("Spotify")-IF(AND(DAY($A418)=Budget!$M$3, MONTH($A418)=Budget!$L$3),Budget!$K$3,0)</f>
        <v>0</v>
      </c>
      <c r="R418" s="17">
        <f>N("Spotify")-IF(AND(DAY($A418)=Budget!$M$4, MONTH($A418)=Budget!$L$4),Budget!$K$4,0)</f>
        <v>0</v>
      </c>
      <c r="S418" s="17">
        <f>N("Spotify")-IF(AND(DAY($A418)=Budget!$M$5, MONTH($A418)=Budget!$L$5),Budget!$K$5,0)</f>
        <v>0</v>
      </c>
      <c r="T418" s="17">
        <f>N("Amazon Prime")-IF(DAY(A418)=Budget!$Q$3,Budget!$P$3,0)</f>
        <v>0</v>
      </c>
      <c r="U418" s="17">
        <f>N("Audible")-IF(DAY(A418)=Budget!$Q$12,Budget!$P$12,0)</f>
        <v>0</v>
      </c>
      <c r="V418" s="17">
        <f>N("Crunchyroll")-IF(DAY(A418)=Budget!$Q$5,Budget!$P$5,0)</f>
        <v>0</v>
      </c>
      <c r="W418" s="17">
        <f>N("HBO Max")-IF(DAY(A418)=Budget!$Q$6,Budget!$P$6,0)</f>
        <v>0</v>
      </c>
      <c r="X418" s="17">
        <f>N("Netflix")-IF(DAY(A418)=Budget!$Q$7,Budget!$P$7,0)</f>
        <v>0</v>
      </c>
      <c r="Y418" s="17">
        <f>N("Spotify")-IF(DAY(A418)=Budget!$Q$8,Budget!$P$8,0)</f>
        <v>0</v>
      </c>
      <c r="Z418" s="17">
        <f>N("Truebill")-IF(DAY(A418)=Budget!$Q$9,Budget!$P$9,0)</f>
        <v>0</v>
      </c>
      <c r="AA418" s="6">
        <f t="shared" si="48"/>
        <v>-70</v>
      </c>
    </row>
    <row r="419" spans="1:27" x14ac:dyDescent="0.3">
      <c r="A419" s="4">
        <f t="shared" si="50"/>
        <v>46028</v>
      </c>
      <c r="B419" s="2">
        <f t="shared" si="49"/>
        <v>3048.1999999999994</v>
      </c>
      <c r="C419" s="7">
        <f t="shared" si="51"/>
        <v>1</v>
      </c>
      <c r="D419" s="1">
        <v>0</v>
      </c>
      <c r="E419" s="17">
        <f>N("PAY-LM")+IF(WEEKDAY(A419)=Budget!$C$3,Budget!$B$3,0)</f>
        <v>0</v>
      </c>
      <c r="F419" s="17">
        <f>N("Rent")-IF(DAY(A419)=Budget!$G$3,Budget!$F$3,0)</f>
        <v>0</v>
      </c>
      <c r="G419" s="17">
        <f>N("Car")-IF(DAY(A419)=Budget!$G$4,Budget!$F$4+Budget!$H$4,0)</f>
        <v>0</v>
      </c>
      <c r="H419" s="17">
        <f>N("Mom Rent")-IF(DAY(A419)=Budget!$G$5,Budget!$F$5,0)</f>
        <v>0</v>
      </c>
      <c r="I419" s="17">
        <f>N("AT&amp;T")-IF(DAY(A419)=Budget!$G$8,Budget!$F$8,0)</f>
        <v>0</v>
      </c>
      <c r="J419" s="17">
        <f>N("GA Power")-IF(DAY(A419)=Budget!$G$9,Budget!$F$9,0)</f>
        <v>0</v>
      </c>
      <c r="K419" s="17">
        <f>N("Haircut")-IF(DAY(A419)=Budget!$G$10,Budget!$F$10,0)</f>
        <v>0</v>
      </c>
      <c r="L419" s="17">
        <f>N("Groceries")-IF(DAY(A419)=Budget!$G$6,Budget!$F$6,0)</f>
        <v>0</v>
      </c>
      <c r="M419" s="17">
        <f>N("Savings")-IF(DAY(A419)=Budget!$G$7,Budget!$F$7,0)</f>
        <v>0</v>
      </c>
      <c r="N419" s="17">
        <f>N("Car Insurance")-COUNTIF(Budget!$G$14, A419)*Budget!$F$14</f>
        <v>0</v>
      </c>
      <c r="O419" s="17">
        <f>N("Phone Bill")-COUNTIF(Budget!$G$15, A419)*Budget!$F$15</f>
        <v>0</v>
      </c>
      <c r="Q419" s="17">
        <f>N("Spotify")-IF(AND(DAY($A419)=Budget!$M$3, MONTH($A419)=Budget!$L$3),Budget!$K$3,0)</f>
        <v>0</v>
      </c>
      <c r="R419" s="17">
        <f>N("Spotify")-IF(AND(DAY($A419)=Budget!$M$4, MONTH($A419)=Budget!$L$4),Budget!$K$4,0)</f>
        <v>0</v>
      </c>
      <c r="S419" s="17">
        <f>N("Spotify")-IF(AND(DAY($A419)=Budget!$M$5, MONTH($A419)=Budget!$L$5),Budget!$K$5,0)</f>
        <v>0</v>
      </c>
      <c r="T419" s="17">
        <f>N("Amazon Prime")-IF(DAY(A419)=Budget!$Q$3,Budget!$P$3,0)</f>
        <v>0</v>
      </c>
      <c r="U419" s="17">
        <f>N("Audible")-IF(DAY(A419)=Budget!$Q$12,Budget!$P$12,0)</f>
        <v>0</v>
      </c>
      <c r="V419" s="17">
        <f>N("Crunchyroll")-IF(DAY(A419)=Budget!$Q$5,Budget!$P$5,0)</f>
        <v>0</v>
      </c>
      <c r="W419" s="17">
        <f>N("HBO Max")-IF(DAY(A419)=Budget!$Q$6,Budget!$P$6,0)</f>
        <v>0</v>
      </c>
      <c r="X419" s="17">
        <f>N("Netflix")-IF(DAY(A419)=Budget!$Q$7,Budget!$P$7,0)</f>
        <v>0</v>
      </c>
      <c r="Y419" s="17">
        <f>N("Spotify")-IF(DAY(A419)=Budget!$Q$8,Budget!$P$8,0)</f>
        <v>0</v>
      </c>
      <c r="Z419" s="17">
        <f>N("Truebill")-IF(DAY(A419)=Budget!$Q$9,Budget!$P$9,0)</f>
        <v>0</v>
      </c>
      <c r="AA419" s="6">
        <f t="shared" si="48"/>
        <v>0</v>
      </c>
    </row>
    <row r="420" spans="1:27" x14ac:dyDescent="0.3">
      <c r="A420" s="4">
        <f t="shared" si="50"/>
        <v>46029</v>
      </c>
      <c r="B420" s="2">
        <f t="shared" si="49"/>
        <v>3048.1999999999994</v>
      </c>
      <c r="C420" s="7">
        <f t="shared" si="51"/>
        <v>1</v>
      </c>
      <c r="D420" s="1">
        <v>0</v>
      </c>
      <c r="E420" s="17">
        <f>N("PAY-LM")+IF(WEEKDAY(A420)=Budget!$C$3,Budget!$B$3,0)</f>
        <v>0</v>
      </c>
      <c r="F420" s="17">
        <f>N("Rent")-IF(DAY(A420)=Budget!$G$3,Budget!$F$3,0)</f>
        <v>0</v>
      </c>
      <c r="G420" s="17">
        <f>N("Car")-IF(DAY(A420)=Budget!$G$4,Budget!$F$4+Budget!$H$4,0)</f>
        <v>0</v>
      </c>
      <c r="H420" s="17">
        <f>N("Mom Rent")-IF(DAY(A420)=Budget!$G$5,Budget!$F$5,0)</f>
        <v>0</v>
      </c>
      <c r="I420" s="17">
        <f>N("AT&amp;T")-IF(DAY(A420)=Budget!$G$8,Budget!$F$8,0)</f>
        <v>0</v>
      </c>
      <c r="J420" s="17">
        <f>N("GA Power")-IF(DAY(A420)=Budget!$G$9,Budget!$F$9,0)</f>
        <v>0</v>
      </c>
      <c r="K420" s="17">
        <f>N("Haircut")-IF(DAY(A420)=Budget!$G$10,Budget!$F$10,0)</f>
        <v>0</v>
      </c>
      <c r="L420" s="17">
        <f>N("Groceries")-IF(DAY(A420)=Budget!$G$6,Budget!$F$6,0)</f>
        <v>0</v>
      </c>
      <c r="M420" s="17">
        <f>N("Savings")-IF(DAY(A420)=Budget!$G$7,Budget!$F$7,0)</f>
        <v>0</v>
      </c>
      <c r="N420" s="17">
        <f>N("Car Insurance")-COUNTIF(Budget!$G$14, A420)*Budget!$F$14</f>
        <v>0</v>
      </c>
      <c r="O420" s="17">
        <f>N("Phone Bill")-COUNTIF(Budget!$G$15, A420)*Budget!$F$15</f>
        <v>0</v>
      </c>
      <c r="Q420" s="17">
        <f>N("Spotify")-IF(AND(DAY($A420)=Budget!$M$3, MONTH($A420)=Budget!$L$3),Budget!$K$3,0)</f>
        <v>0</v>
      </c>
      <c r="R420" s="17">
        <f>N("Spotify")-IF(AND(DAY($A420)=Budget!$M$4, MONTH($A420)=Budget!$L$4),Budget!$K$4,0)</f>
        <v>0</v>
      </c>
      <c r="S420" s="17">
        <f>N("Spotify")-IF(AND(DAY($A420)=Budget!$M$5, MONTH($A420)=Budget!$L$5),Budget!$K$5,0)</f>
        <v>0</v>
      </c>
      <c r="T420" s="17">
        <f>N("Amazon Prime")-IF(DAY(A420)=Budget!$Q$3,Budget!$P$3,0)</f>
        <v>0</v>
      </c>
      <c r="U420" s="17">
        <f>N("Audible")-IF(DAY(A420)=Budget!$Q$12,Budget!$P$12,0)</f>
        <v>0</v>
      </c>
      <c r="V420" s="17">
        <f>N("Crunchyroll")-IF(DAY(A420)=Budget!$Q$5,Budget!$P$5,0)</f>
        <v>0</v>
      </c>
      <c r="W420" s="17">
        <f>N("HBO Max")-IF(DAY(A420)=Budget!$Q$6,Budget!$P$6,0)</f>
        <v>0</v>
      </c>
      <c r="X420" s="17">
        <f>N("Netflix")-IF(DAY(A420)=Budget!$Q$7,Budget!$P$7,0)</f>
        <v>0</v>
      </c>
      <c r="Y420" s="17">
        <f>N("Spotify")-IF(DAY(A420)=Budget!$Q$8,Budget!$P$8,0)</f>
        <v>0</v>
      </c>
      <c r="Z420" s="17">
        <f>N("Truebill")-IF(DAY(A420)=Budget!$Q$9,Budget!$P$9,0)</f>
        <v>0</v>
      </c>
      <c r="AA420" s="6">
        <f t="shared" si="48"/>
        <v>0</v>
      </c>
    </row>
    <row r="421" spans="1:27" x14ac:dyDescent="0.3">
      <c r="A421" s="4">
        <f t="shared" si="50"/>
        <v>46030</v>
      </c>
      <c r="B421" s="2">
        <f t="shared" si="49"/>
        <v>3028.7299999999996</v>
      </c>
      <c r="C421" s="7">
        <f t="shared" si="51"/>
        <v>0</v>
      </c>
      <c r="D421" s="1">
        <v>0</v>
      </c>
      <c r="E421" s="17">
        <f>N("PAY-LM")+IF(WEEKDAY(A421)=Budget!$C$3,Budget!$B$3,0)</f>
        <v>0</v>
      </c>
      <c r="F421" s="17">
        <f>N("Rent")-IF(DAY(A421)=Budget!$G$3,Budget!$F$3,0)</f>
        <v>0</v>
      </c>
      <c r="G421" s="17">
        <f>N("Car")-IF(DAY(A421)=Budget!$G$4,Budget!$F$4+Budget!$H$4,0)</f>
        <v>0</v>
      </c>
      <c r="H421" s="17">
        <f>N("Mom Rent")-IF(DAY(A421)=Budget!$G$5,Budget!$F$5,0)</f>
        <v>0</v>
      </c>
      <c r="I421" s="17">
        <f>N("AT&amp;T")-IF(DAY(A421)=Budget!$G$8,Budget!$F$8,0)</f>
        <v>0</v>
      </c>
      <c r="J421" s="17">
        <f>N("GA Power")-IF(DAY(A421)=Budget!$G$9,Budget!$F$9,0)</f>
        <v>0</v>
      </c>
      <c r="K421" s="17">
        <f>N("Haircut")-IF(DAY(A421)=Budget!$G$10,Budget!$F$10,0)</f>
        <v>0</v>
      </c>
      <c r="L421" s="17">
        <f>N("Groceries")-IF(DAY(A421)=Budget!$G$6,Budget!$F$6,0)</f>
        <v>0</v>
      </c>
      <c r="M421" s="17">
        <f>N("Savings")-IF(DAY(A421)=Budget!$G$7,Budget!$F$7,0)</f>
        <v>0</v>
      </c>
      <c r="N421" s="17">
        <f>N("Car Insurance")-COUNTIF(Budget!$G$14, A421)*Budget!$F$14</f>
        <v>0</v>
      </c>
      <c r="O421" s="17">
        <f>N("Phone Bill")-COUNTIF(Budget!$G$15, A421)*Budget!$F$15</f>
        <v>0</v>
      </c>
      <c r="Q421" s="17">
        <f>N("Spotify")-IF(AND(DAY($A421)=Budget!$M$3, MONTH($A421)=Budget!$L$3),Budget!$K$3,0)</f>
        <v>0</v>
      </c>
      <c r="R421" s="17">
        <f>N("Spotify")-IF(AND(DAY($A421)=Budget!$M$4, MONTH($A421)=Budget!$L$4),Budget!$K$4,0)</f>
        <v>0</v>
      </c>
      <c r="S421" s="17">
        <f>N("Spotify")-IF(AND(DAY($A421)=Budget!$M$5, MONTH($A421)=Budget!$L$5),Budget!$K$5,0)</f>
        <v>0</v>
      </c>
      <c r="T421" s="17">
        <f>N("Amazon Prime")-IF(DAY(A421)=Budget!$Q$3,Budget!$P$3,0)</f>
        <v>-7.48</v>
      </c>
      <c r="U421" s="17">
        <f>N("Audible")-IF(DAY(A421)=Budget!$Q$12,Budget!$P$12,0)</f>
        <v>0</v>
      </c>
      <c r="V421" s="17">
        <f>N("Crunchyroll")-IF(DAY(A421)=Budget!$Q$5,Budget!$P$5,0)</f>
        <v>0</v>
      </c>
      <c r="W421" s="17">
        <f>N("HBO Max")-IF(DAY(A421)=Budget!$Q$6,Budget!$P$6,0)</f>
        <v>-11.99</v>
      </c>
      <c r="X421" s="17">
        <f>N("Netflix")-IF(DAY(A421)=Budget!$Q$7,Budget!$P$7,0)</f>
        <v>0</v>
      </c>
      <c r="Y421" s="17">
        <f>N("Spotify")-IF(DAY(A421)=Budget!$Q$8,Budget!$P$8,0)</f>
        <v>0</v>
      </c>
      <c r="Z421" s="17">
        <f>N("Truebill")-IF(DAY(A421)=Budget!$Q$9,Budget!$P$9,0)</f>
        <v>0</v>
      </c>
      <c r="AA421" s="6">
        <f t="shared" si="48"/>
        <v>-19.47</v>
      </c>
    </row>
    <row r="422" spans="1:27" x14ac:dyDescent="0.3">
      <c r="A422" s="4">
        <f t="shared" si="50"/>
        <v>46031</v>
      </c>
      <c r="B422" s="2">
        <f t="shared" si="49"/>
        <v>4481.7299999999996</v>
      </c>
      <c r="C422" s="7">
        <f t="shared" si="51"/>
        <v>2</v>
      </c>
      <c r="D422" s="1">
        <v>0</v>
      </c>
      <c r="E422" s="17">
        <f>N("PAY-LM")+IF(WEEKDAY(A422)=Budget!$C$3,Budget!$B$3,0)</f>
        <v>1453</v>
      </c>
      <c r="F422" s="17">
        <f>N("Rent")-IF(DAY(A422)=Budget!$G$3,Budget!$F$3,0)</f>
        <v>0</v>
      </c>
      <c r="G422" s="17">
        <f>N("Car")-IF(DAY(A422)=Budget!$G$4,Budget!$F$4+Budget!$H$4,0)</f>
        <v>0</v>
      </c>
      <c r="H422" s="17">
        <f>N("Mom Rent")-IF(DAY(A422)=Budget!$G$5,Budget!$F$5,0)</f>
        <v>0</v>
      </c>
      <c r="I422" s="17">
        <f>N("AT&amp;T")-IF(DAY(A422)=Budget!$G$8,Budget!$F$8,0)</f>
        <v>0</v>
      </c>
      <c r="J422" s="17">
        <f>N("GA Power")-IF(DAY(A422)=Budget!$G$9,Budget!$F$9,0)</f>
        <v>0</v>
      </c>
      <c r="K422" s="17">
        <f>N("Haircut")-IF(DAY(A422)=Budget!$G$10,Budget!$F$10,0)</f>
        <v>0</v>
      </c>
      <c r="L422" s="17">
        <f>N("Groceries")-IF(DAY(A422)=Budget!$G$6,Budget!$F$6,0)</f>
        <v>0</v>
      </c>
      <c r="M422" s="17">
        <f>N("Savings")-IF(DAY(A422)=Budget!$G$7,Budget!$F$7,0)</f>
        <v>0</v>
      </c>
      <c r="N422" s="17">
        <f>N("Car Insurance")-COUNTIF(Budget!$G$14, A422)*Budget!$F$14</f>
        <v>0</v>
      </c>
      <c r="O422" s="17">
        <f>N("Phone Bill")-COUNTIF(Budget!$G$15, A422)*Budget!$F$15</f>
        <v>0</v>
      </c>
      <c r="Q422" s="17">
        <f>N("Spotify")-IF(AND(DAY($A422)=Budget!$M$3, MONTH($A422)=Budget!$L$3),Budget!$K$3,0)</f>
        <v>0</v>
      </c>
      <c r="R422" s="17">
        <f>N("Spotify")-IF(AND(DAY($A422)=Budget!$M$4, MONTH($A422)=Budget!$L$4),Budget!$K$4,0)</f>
        <v>0</v>
      </c>
      <c r="S422" s="17">
        <f>N("Spotify")-IF(AND(DAY($A422)=Budget!$M$5, MONTH($A422)=Budget!$L$5),Budget!$K$5,0)</f>
        <v>0</v>
      </c>
      <c r="T422" s="17">
        <f>N("Amazon Prime")-IF(DAY(A422)=Budget!$Q$3,Budget!$P$3,0)</f>
        <v>0</v>
      </c>
      <c r="U422" s="17">
        <f>N("Audible")-IF(DAY(A422)=Budget!$Q$12,Budget!$P$12,0)</f>
        <v>0</v>
      </c>
      <c r="V422" s="17">
        <f>N("Crunchyroll")-IF(DAY(A422)=Budget!$Q$5,Budget!$P$5,0)</f>
        <v>0</v>
      </c>
      <c r="W422" s="17">
        <f>N("HBO Max")-IF(DAY(A422)=Budget!$Q$6,Budget!$P$6,0)</f>
        <v>0</v>
      </c>
      <c r="X422" s="17">
        <f>N("Netflix")-IF(DAY(A422)=Budget!$Q$7,Budget!$P$7,0)</f>
        <v>0</v>
      </c>
      <c r="Y422" s="17">
        <f>N("Spotify")-IF(DAY(A422)=Budget!$Q$8,Budget!$P$8,0)</f>
        <v>0</v>
      </c>
      <c r="Z422" s="17">
        <f>N("Truebill")-IF(DAY(A422)=Budget!$Q$9,Budget!$P$9,0)</f>
        <v>0</v>
      </c>
      <c r="AA422" s="6">
        <f t="shared" si="48"/>
        <v>1453</v>
      </c>
    </row>
    <row r="423" spans="1:27" x14ac:dyDescent="0.3">
      <c r="A423" s="4">
        <f t="shared" si="50"/>
        <v>46032</v>
      </c>
      <c r="B423" s="2">
        <f t="shared" si="49"/>
        <v>4481.7299999999996</v>
      </c>
      <c r="C423" s="7">
        <f t="shared" si="51"/>
        <v>1</v>
      </c>
      <c r="D423" s="1">
        <v>0</v>
      </c>
      <c r="E423" s="17">
        <f>N("PAY-LM")+IF(WEEKDAY(A423)=Budget!$C$3,Budget!$B$3,0)</f>
        <v>0</v>
      </c>
      <c r="F423" s="17">
        <f>N("Rent")-IF(DAY(A423)=Budget!$G$3,Budget!$F$3,0)</f>
        <v>0</v>
      </c>
      <c r="G423" s="17">
        <f>N("Car")-IF(DAY(A423)=Budget!$G$4,Budget!$F$4+Budget!$H$4,0)</f>
        <v>0</v>
      </c>
      <c r="H423" s="17">
        <f>N("Mom Rent")-IF(DAY(A423)=Budget!$G$5,Budget!$F$5,0)</f>
        <v>0</v>
      </c>
      <c r="I423" s="17">
        <f>N("AT&amp;T")-IF(DAY(A423)=Budget!$G$8,Budget!$F$8,0)</f>
        <v>0</v>
      </c>
      <c r="J423" s="17">
        <f>N("GA Power")-IF(DAY(A423)=Budget!$G$9,Budget!$F$9,0)</f>
        <v>0</v>
      </c>
      <c r="K423" s="17">
        <f>N("Haircut")-IF(DAY(A423)=Budget!$G$10,Budget!$F$10,0)</f>
        <v>0</v>
      </c>
      <c r="L423" s="17">
        <f>N("Groceries")-IF(DAY(A423)=Budget!$G$6,Budget!$F$6,0)</f>
        <v>0</v>
      </c>
      <c r="M423" s="17">
        <f>N("Savings")-IF(DAY(A423)=Budget!$G$7,Budget!$F$7,0)</f>
        <v>0</v>
      </c>
      <c r="N423" s="17">
        <f>N("Car Insurance")-COUNTIF(Budget!$G$14, A423)*Budget!$F$14</f>
        <v>0</v>
      </c>
      <c r="O423" s="17">
        <f>N("Phone Bill")-COUNTIF(Budget!$G$15, A423)*Budget!$F$15</f>
        <v>0</v>
      </c>
      <c r="Q423" s="17">
        <f>N("Spotify")-IF(AND(DAY($A423)=Budget!$M$3, MONTH($A423)=Budget!$L$3),Budget!$K$3,0)</f>
        <v>0</v>
      </c>
      <c r="R423" s="17">
        <f>N("Spotify")-IF(AND(DAY($A423)=Budget!$M$4, MONTH($A423)=Budget!$L$4),Budget!$K$4,0)</f>
        <v>0</v>
      </c>
      <c r="S423" s="17">
        <f>N("Spotify")-IF(AND(DAY($A423)=Budget!$M$5, MONTH($A423)=Budget!$L$5),Budget!$K$5,0)</f>
        <v>0</v>
      </c>
      <c r="T423" s="17">
        <f>N("Amazon Prime")-IF(DAY(A423)=Budget!$Q$3,Budget!$P$3,0)</f>
        <v>0</v>
      </c>
      <c r="U423" s="17">
        <f>N("Audible")-IF(DAY(A423)=Budget!$Q$12,Budget!$P$12,0)</f>
        <v>0</v>
      </c>
      <c r="V423" s="17">
        <f>N("Crunchyroll")-IF(DAY(A423)=Budget!$Q$5,Budget!$P$5,0)</f>
        <v>0</v>
      </c>
      <c r="W423" s="17">
        <f>N("HBO Max")-IF(DAY(A423)=Budget!$Q$6,Budget!$P$6,0)</f>
        <v>0</v>
      </c>
      <c r="X423" s="17">
        <f>N("Netflix")-IF(DAY(A423)=Budget!$Q$7,Budget!$P$7,0)</f>
        <v>0</v>
      </c>
      <c r="Y423" s="17">
        <f>N("Spotify")-IF(DAY(A423)=Budget!$Q$8,Budget!$P$8,0)</f>
        <v>0</v>
      </c>
      <c r="Z423" s="17">
        <f>N("Truebill")-IF(DAY(A423)=Budget!$Q$9,Budget!$P$9,0)</f>
        <v>0</v>
      </c>
      <c r="AA423" s="6">
        <f t="shared" si="48"/>
        <v>0</v>
      </c>
    </row>
    <row r="424" spans="1:27" x14ac:dyDescent="0.3">
      <c r="A424" s="4">
        <f t="shared" si="50"/>
        <v>46033</v>
      </c>
      <c r="B424" s="2">
        <f t="shared" si="49"/>
        <v>4481.7299999999996</v>
      </c>
      <c r="C424" s="7">
        <f t="shared" si="51"/>
        <v>1</v>
      </c>
      <c r="D424" s="1">
        <v>0</v>
      </c>
      <c r="E424" s="17">
        <f>N("PAY-LM")+IF(WEEKDAY(A424)=Budget!$C$3,Budget!$B$3,0)</f>
        <v>0</v>
      </c>
      <c r="F424" s="17">
        <f>N("Rent")-IF(DAY(A424)=Budget!$G$3,Budget!$F$3,0)</f>
        <v>0</v>
      </c>
      <c r="G424" s="17">
        <f>N("Car")-IF(DAY(A424)=Budget!$G$4,Budget!$F$4+Budget!$H$4,0)</f>
        <v>0</v>
      </c>
      <c r="H424" s="17">
        <f>N("Mom Rent")-IF(DAY(A424)=Budget!$G$5,Budget!$F$5,0)</f>
        <v>0</v>
      </c>
      <c r="I424" s="17">
        <f>N("AT&amp;T")-IF(DAY(A424)=Budget!$G$8,Budget!$F$8,0)</f>
        <v>0</v>
      </c>
      <c r="J424" s="17">
        <f>N("GA Power")-IF(DAY(A424)=Budget!$G$9,Budget!$F$9,0)</f>
        <v>0</v>
      </c>
      <c r="K424" s="17">
        <f>N("Haircut")-IF(DAY(A424)=Budget!$G$10,Budget!$F$10,0)</f>
        <v>0</v>
      </c>
      <c r="L424" s="17">
        <f>N("Groceries")-IF(DAY(A424)=Budget!$G$6,Budget!$F$6,0)</f>
        <v>0</v>
      </c>
      <c r="M424" s="17">
        <f>N("Savings")-IF(DAY(A424)=Budget!$G$7,Budget!$F$7,0)</f>
        <v>0</v>
      </c>
      <c r="N424" s="17">
        <f>N("Car Insurance")-COUNTIF(Budget!$G$14, A424)*Budget!$F$14</f>
        <v>0</v>
      </c>
      <c r="O424" s="17">
        <f>N("Phone Bill")-COUNTIF(Budget!$G$15, A424)*Budget!$F$15</f>
        <v>0</v>
      </c>
      <c r="Q424" s="17">
        <f>N("Spotify")-IF(AND(DAY($A424)=Budget!$M$3, MONTH($A424)=Budget!$L$3),Budget!$K$3,0)</f>
        <v>0</v>
      </c>
      <c r="R424" s="17">
        <f>N("Spotify")-IF(AND(DAY($A424)=Budget!$M$4, MONTH($A424)=Budget!$L$4),Budget!$K$4,0)</f>
        <v>0</v>
      </c>
      <c r="S424" s="17">
        <f>N("Spotify")-IF(AND(DAY($A424)=Budget!$M$5, MONTH($A424)=Budget!$L$5),Budget!$K$5,0)</f>
        <v>0</v>
      </c>
      <c r="T424" s="17">
        <f>N("Amazon Prime")-IF(DAY(A424)=Budget!$Q$3,Budget!$P$3,0)</f>
        <v>0</v>
      </c>
      <c r="U424" s="17">
        <f>N("Audible")-IF(DAY(A424)=Budget!$Q$12,Budget!$P$12,0)</f>
        <v>0</v>
      </c>
      <c r="V424" s="17">
        <f>N("Crunchyroll")-IF(DAY(A424)=Budget!$Q$5,Budget!$P$5,0)</f>
        <v>0</v>
      </c>
      <c r="W424" s="17">
        <f>N("HBO Max")-IF(DAY(A424)=Budget!$Q$6,Budget!$P$6,0)</f>
        <v>0</v>
      </c>
      <c r="X424" s="17">
        <f>N("Netflix")-IF(DAY(A424)=Budget!$Q$7,Budget!$P$7,0)</f>
        <v>0</v>
      </c>
      <c r="Y424" s="17">
        <f>N("Spotify")-IF(DAY(A424)=Budget!$Q$8,Budget!$P$8,0)</f>
        <v>0</v>
      </c>
      <c r="Z424" s="17">
        <f>N("Truebill")-IF(DAY(A424)=Budget!$Q$9,Budget!$P$9,0)</f>
        <v>0</v>
      </c>
      <c r="AA424" s="6">
        <f t="shared" si="48"/>
        <v>0</v>
      </c>
    </row>
    <row r="425" spans="1:27" x14ac:dyDescent="0.3">
      <c r="A425" s="4">
        <f t="shared" si="50"/>
        <v>46034</v>
      </c>
      <c r="B425" s="2">
        <f t="shared" si="49"/>
        <v>4475.7299999999996</v>
      </c>
      <c r="C425" s="7">
        <f t="shared" si="51"/>
        <v>0</v>
      </c>
      <c r="D425" s="1">
        <v>0</v>
      </c>
      <c r="E425" s="17">
        <f>N("PAY-LM")+IF(WEEKDAY(A425)=Budget!$C$3,Budget!$B$3,0)</f>
        <v>0</v>
      </c>
      <c r="F425" s="17">
        <f>N("Rent")-IF(DAY(A425)=Budget!$G$3,Budget!$F$3,0)</f>
        <v>0</v>
      </c>
      <c r="G425" s="17">
        <f>N("Car")-IF(DAY(A425)=Budget!$G$4,Budget!$F$4+Budget!$H$4,0)</f>
        <v>0</v>
      </c>
      <c r="H425" s="17">
        <f>N("Mom Rent")-IF(DAY(A425)=Budget!$G$5,Budget!$F$5,0)</f>
        <v>0</v>
      </c>
      <c r="I425" s="17">
        <f>N("AT&amp;T")-IF(DAY(A425)=Budget!$G$8,Budget!$F$8,0)</f>
        <v>0</v>
      </c>
      <c r="J425" s="17">
        <f>N("GA Power")-IF(DAY(A425)=Budget!$G$9,Budget!$F$9,0)</f>
        <v>0</v>
      </c>
      <c r="K425" s="17">
        <f>N("Haircut")-IF(DAY(A425)=Budget!$G$10,Budget!$F$10,0)</f>
        <v>0</v>
      </c>
      <c r="L425" s="17">
        <f>N("Groceries")-IF(DAY(A425)=Budget!$G$6,Budget!$F$6,0)</f>
        <v>0</v>
      </c>
      <c r="M425" s="17">
        <f>N("Savings")-IF(DAY(A425)=Budget!$G$7,Budget!$F$7,0)</f>
        <v>0</v>
      </c>
      <c r="N425" s="17">
        <f>N("Car Insurance")-COUNTIF(Budget!$G$14, A425)*Budget!$F$14</f>
        <v>0</v>
      </c>
      <c r="O425" s="17">
        <f>N("Phone Bill")-COUNTIF(Budget!$G$15, A425)*Budget!$F$15</f>
        <v>0</v>
      </c>
      <c r="Q425" s="17">
        <f>N("Spotify")-IF(AND(DAY($A425)=Budget!$M$3, MONTH($A425)=Budget!$L$3),Budget!$K$3,0)</f>
        <v>0</v>
      </c>
      <c r="R425" s="17">
        <f>N("Spotify")-IF(AND(DAY($A425)=Budget!$M$4, MONTH($A425)=Budget!$L$4),Budget!$K$4,0)</f>
        <v>0</v>
      </c>
      <c r="S425" s="17">
        <f>N("Spotify")-IF(AND(DAY($A425)=Budget!$M$5, MONTH($A425)=Budget!$L$5),Budget!$K$5,0)</f>
        <v>0</v>
      </c>
      <c r="T425" s="17">
        <f>N("Amazon Prime")-IF(DAY(A425)=Budget!$Q$3,Budget!$P$3,0)</f>
        <v>0</v>
      </c>
      <c r="U425" s="17">
        <f>N("Audible")-IF(DAY(A425)=Budget!$Q$12,Budget!$P$12,0)</f>
        <v>0</v>
      </c>
      <c r="V425" s="17">
        <f>N("Crunchyroll")-IF(DAY(A425)=Budget!$Q$5,Budget!$P$5,0)</f>
        <v>0</v>
      </c>
      <c r="W425" s="17">
        <f>N("HBO Max")-IF(DAY(A425)=Budget!$Q$6,Budget!$P$6,0)</f>
        <v>0</v>
      </c>
      <c r="X425" s="17">
        <f>N("Netflix")-IF(DAY(A425)=Budget!$Q$7,Budget!$P$7,0)</f>
        <v>-6</v>
      </c>
      <c r="Y425" s="17">
        <f>N("Spotify")-IF(DAY(A425)=Budget!$Q$8,Budget!$P$8,0)</f>
        <v>0</v>
      </c>
      <c r="Z425" s="17">
        <f>N("Truebill")-IF(DAY(A425)=Budget!$Q$9,Budget!$P$9,0)</f>
        <v>0</v>
      </c>
      <c r="AA425" s="6">
        <f t="shared" si="48"/>
        <v>-6</v>
      </c>
    </row>
    <row r="426" spans="1:27" x14ac:dyDescent="0.3">
      <c r="A426" s="4">
        <f t="shared" si="50"/>
        <v>46035</v>
      </c>
      <c r="B426" s="2">
        <f t="shared" si="49"/>
        <v>4475.7299999999996</v>
      </c>
      <c r="C426" s="7">
        <f t="shared" si="51"/>
        <v>1</v>
      </c>
      <c r="D426" s="1">
        <v>0</v>
      </c>
      <c r="E426" s="17">
        <f>N("PAY-LM")+IF(WEEKDAY(A426)=Budget!$C$3,Budget!$B$3,0)</f>
        <v>0</v>
      </c>
      <c r="F426" s="17">
        <f>N("Rent")-IF(DAY(A426)=Budget!$G$3,Budget!$F$3,0)</f>
        <v>0</v>
      </c>
      <c r="G426" s="17">
        <f>N("Car")-IF(DAY(A426)=Budget!$G$4,Budget!$F$4+Budget!$H$4,0)</f>
        <v>0</v>
      </c>
      <c r="H426" s="17">
        <f>N("Mom Rent")-IF(DAY(A426)=Budget!$G$5,Budget!$F$5,0)</f>
        <v>0</v>
      </c>
      <c r="I426" s="17">
        <f>N("AT&amp;T")-IF(DAY(A426)=Budget!$G$8,Budget!$F$8,0)</f>
        <v>0</v>
      </c>
      <c r="J426" s="17">
        <f>N("GA Power")-IF(DAY(A426)=Budget!$G$9,Budget!$F$9,0)</f>
        <v>0</v>
      </c>
      <c r="K426" s="17">
        <f>N("Haircut")-IF(DAY(A426)=Budget!$G$10,Budget!$F$10,0)</f>
        <v>0</v>
      </c>
      <c r="L426" s="17">
        <f>N("Groceries")-IF(DAY(A426)=Budget!$G$6,Budget!$F$6,0)</f>
        <v>0</v>
      </c>
      <c r="M426" s="17">
        <f>N("Savings")-IF(DAY(A426)=Budget!$G$7,Budget!$F$7,0)</f>
        <v>0</v>
      </c>
      <c r="N426" s="17">
        <f>N("Car Insurance")-COUNTIF(Budget!$G$14, A426)*Budget!$F$14</f>
        <v>0</v>
      </c>
      <c r="O426" s="17">
        <f>N("Phone Bill")-COUNTIF(Budget!$G$15, A426)*Budget!$F$15</f>
        <v>0</v>
      </c>
      <c r="Q426" s="17">
        <f>N("Spotify")-IF(AND(DAY($A426)=Budget!$M$3, MONTH($A426)=Budget!$L$3),Budget!$K$3,0)</f>
        <v>0</v>
      </c>
      <c r="R426" s="17">
        <f>N("Spotify")-IF(AND(DAY($A426)=Budget!$M$4, MONTH($A426)=Budget!$L$4),Budget!$K$4,0)</f>
        <v>0</v>
      </c>
      <c r="S426" s="17">
        <f>N("Spotify")-IF(AND(DAY($A426)=Budget!$M$5, MONTH($A426)=Budget!$L$5),Budget!$K$5,0)</f>
        <v>0</v>
      </c>
      <c r="T426" s="17">
        <f>N("Amazon Prime")-IF(DAY(A426)=Budget!$Q$3,Budget!$P$3,0)</f>
        <v>0</v>
      </c>
      <c r="U426" s="17">
        <f>N("Audible")-IF(DAY(A426)=Budget!$Q$12,Budget!$P$12,0)</f>
        <v>0</v>
      </c>
      <c r="V426" s="17">
        <f>N("Crunchyroll")-IF(DAY(A426)=Budget!$Q$5,Budget!$P$5,0)</f>
        <v>0</v>
      </c>
      <c r="W426" s="17">
        <f>N("HBO Max")-IF(DAY(A426)=Budget!$Q$6,Budget!$P$6,0)</f>
        <v>0</v>
      </c>
      <c r="X426" s="17">
        <f>N("Netflix")-IF(DAY(A426)=Budget!$Q$7,Budget!$P$7,0)</f>
        <v>0</v>
      </c>
      <c r="Y426" s="17">
        <f>N("Spotify")-IF(DAY(A426)=Budget!$Q$8,Budget!$P$8,0)</f>
        <v>0</v>
      </c>
      <c r="Z426" s="17">
        <f>N("Truebill")-IF(DAY(A426)=Budget!$Q$9,Budget!$P$9,0)</f>
        <v>0</v>
      </c>
      <c r="AA426" s="6">
        <f t="shared" si="48"/>
        <v>0</v>
      </c>
    </row>
    <row r="427" spans="1:27" x14ac:dyDescent="0.3">
      <c r="A427" s="4">
        <f t="shared" si="50"/>
        <v>46036</v>
      </c>
      <c r="B427" s="2">
        <f t="shared" si="49"/>
        <v>4475.7299999999996</v>
      </c>
      <c r="C427" s="7">
        <f t="shared" si="51"/>
        <v>1</v>
      </c>
      <c r="D427" s="1">
        <v>0</v>
      </c>
      <c r="E427" s="17">
        <f>N("PAY-LM")+IF(WEEKDAY(A427)=Budget!$C$3,Budget!$B$3,0)</f>
        <v>0</v>
      </c>
      <c r="F427" s="17">
        <f>N("Rent")-IF(DAY(A427)=Budget!$G$3,Budget!$F$3,0)</f>
        <v>0</v>
      </c>
      <c r="G427" s="17">
        <f>N("Car")-IF(DAY(A427)=Budget!$G$4,Budget!$F$4+Budget!$H$4,0)</f>
        <v>0</v>
      </c>
      <c r="H427" s="17">
        <f>N("Mom Rent")-IF(DAY(A427)=Budget!$G$5,Budget!$F$5,0)</f>
        <v>0</v>
      </c>
      <c r="I427" s="17">
        <f>N("AT&amp;T")-IF(DAY(A427)=Budget!$G$8,Budget!$F$8,0)</f>
        <v>0</v>
      </c>
      <c r="J427" s="17">
        <f>N("GA Power")-IF(DAY(A427)=Budget!$G$9,Budget!$F$9,0)</f>
        <v>0</v>
      </c>
      <c r="K427" s="17">
        <f>N("Haircut")-IF(DAY(A427)=Budget!$G$10,Budget!$F$10,0)</f>
        <v>0</v>
      </c>
      <c r="L427" s="17">
        <f>N("Groceries")-IF(DAY(A427)=Budget!$G$6,Budget!$F$6,0)</f>
        <v>0</v>
      </c>
      <c r="M427" s="17">
        <f>N("Savings")-IF(DAY(A427)=Budget!$G$7,Budget!$F$7,0)</f>
        <v>0</v>
      </c>
      <c r="N427" s="17">
        <f>N("Car Insurance")-COUNTIF(Budget!$G$14, A427)*Budget!$F$14</f>
        <v>0</v>
      </c>
      <c r="O427" s="17">
        <f>N("Phone Bill")-COUNTIF(Budget!$G$15, A427)*Budget!$F$15</f>
        <v>0</v>
      </c>
      <c r="Q427" s="17">
        <f>N("Spotify")-IF(AND(DAY($A427)=Budget!$M$3, MONTH($A427)=Budget!$L$3),Budget!$K$3,0)</f>
        <v>0</v>
      </c>
      <c r="R427" s="17">
        <f>N("Spotify")-IF(AND(DAY($A427)=Budget!$M$4, MONTH($A427)=Budget!$L$4),Budget!$K$4,0)</f>
        <v>0</v>
      </c>
      <c r="S427" s="17">
        <f>N("Spotify")-IF(AND(DAY($A427)=Budget!$M$5, MONTH($A427)=Budget!$L$5),Budget!$K$5,0)</f>
        <v>0</v>
      </c>
      <c r="T427" s="17">
        <f>N("Amazon Prime")-IF(DAY(A427)=Budget!$Q$3,Budget!$P$3,0)</f>
        <v>0</v>
      </c>
      <c r="U427" s="17">
        <f>N("Audible")-IF(DAY(A427)=Budget!$Q$12,Budget!$P$12,0)</f>
        <v>0</v>
      </c>
      <c r="V427" s="17">
        <f>N("Crunchyroll")-IF(DAY(A427)=Budget!$Q$5,Budget!$P$5,0)</f>
        <v>0</v>
      </c>
      <c r="W427" s="17">
        <f>N("HBO Max")-IF(DAY(A427)=Budget!$Q$6,Budget!$P$6,0)</f>
        <v>0</v>
      </c>
      <c r="X427" s="17">
        <f>N("Netflix")-IF(DAY(A427)=Budget!$Q$7,Budget!$P$7,0)</f>
        <v>0</v>
      </c>
      <c r="Y427" s="17">
        <f>N("Spotify")-IF(DAY(A427)=Budget!$Q$8,Budget!$P$8,0)</f>
        <v>0</v>
      </c>
      <c r="Z427" s="17">
        <f>N("Truebill")-IF(DAY(A427)=Budget!$Q$9,Budget!$P$9,0)</f>
        <v>0</v>
      </c>
      <c r="AA427" s="6">
        <f t="shared" si="48"/>
        <v>0</v>
      </c>
    </row>
    <row r="428" spans="1:27" x14ac:dyDescent="0.3">
      <c r="A428" s="4">
        <f t="shared" si="50"/>
        <v>46037</v>
      </c>
      <c r="B428" s="2">
        <f t="shared" si="49"/>
        <v>4475.7299999999996</v>
      </c>
      <c r="C428" s="7">
        <f t="shared" si="51"/>
        <v>1</v>
      </c>
      <c r="D428" s="1">
        <v>0</v>
      </c>
      <c r="E428" s="17">
        <f>N("PAY-LM")+IF(WEEKDAY(A428)=Budget!$C$3,Budget!$B$3,0)</f>
        <v>0</v>
      </c>
      <c r="F428" s="17">
        <f>N("Rent")-IF(DAY(A428)=Budget!$G$3,Budget!$F$3,0)</f>
        <v>0</v>
      </c>
      <c r="G428" s="17">
        <f>N("Car")-IF(DAY(A428)=Budget!$G$4,Budget!$F$4+Budget!$H$4,0)</f>
        <v>0</v>
      </c>
      <c r="H428" s="17">
        <f>N("Mom Rent")-IF(DAY(A428)=Budget!$G$5,Budget!$F$5,0)</f>
        <v>0</v>
      </c>
      <c r="I428" s="17">
        <f>N("AT&amp;T")-IF(DAY(A428)=Budget!$G$8,Budget!$F$8,0)</f>
        <v>0</v>
      </c>
      <c r="J428" s="17">
        <f>N("GA Power")-IF(DAY(A428)=Budget!$G$9,Budget!$F$9,0)</f>
        <v>0</v>
      </c>
      <c r="K428" s="17">
        <f>N("Haircut")-IF(DAY(A428)=Budget!$G$10,Budget!$F$10,0)</f>
        <v>0</v>
      </c>
      <c r="L428" s="17">
        <f>N("Groceries")-IF(DAY(A428)=Budget!$G$6,Budget!$F$6,0)</f>
        <v>0</v>
      </c>
      <c r="M428" s="17">
        <f>N("Savings")-IF(DAY(A428)=Budget!$G$7,Budget!$F$7,0)</f>
        <v>0</v>
      </c>
      <c r="N428" s="17">
        <f>N("Car Insurance")-COUNTIF(Budget!$G$14, A428)*Budget!$F$14</f>
        <v>0</v>
      </c>
      <c r="O428" s="17">
        <f>N("Phone Bill")-COUNTIF(Budget!$G$15, A428)*Budget!$F$15</f>
        <v>0</v>
      </c>
      <c r="Q428" s="17">
        <f>N("Spotify")-IF(AND(DAY($A428)=Budget!$M$3, MONTH($A428)=Budget!$L$3),Budget!$K$3,0)</f>
        <v>0</v>
      </c>
      <c r="R428" s="17">
        <f>N("Spotify")-IF(AND(DAY($A428)=Budget!$M$4, MONTH($A428)=Budget!$L$4),Budget!$K$4,0)</f>
        <v>0</v>
      </c>
      <c r="S428" s="17">
        <f>N("Spotify")-IF(AND(DAY($A428)=Budget!$M$5, MONTH($A428)=Budget!$L$5),Budget!$K$5,0)</f>
        <v>0</v>
      </c>
      <c r="T428" s="17">
        <f>N("Amazon Prime")-IF(DAY(A428)=Budget!$Q$3,Budget!$P$3,0)</f>
        <v>0</v>
      </c>
      <c r="U428" s="17">
        <f>N("Audible")-IF(DAY(A428)=Budget!$Q$12,Budget!$P$12,0)</f>
        <v>0</v>
      </c>
      <c r="V428" s="17">
        <f>N("Crunchyroll")-IF(DAY(A428)=Budget!$Q$5,Budget!$P$5,0)</f>
        <v>0</v>
      </c>
      <c r="W428" s="17">
        <f>N("HBO Max")-IF(DAY(A428)=Budget!$Q$6,Budget!$P$6,0)</f>
        <v>0</v>
      </c>
      <c r="X428" s="17">
        <f>N("Netflix")-IF(DAY(A428)=Budget!$Q$7,Budget!$P$7,0)</f>
        <v>0</v>
      </c>
      <c r="Y428" s="17">
        <f>N("Spotify")-IF(DAY(A428)=Budget!$Q$8,Budget!$P$8,0)</f>
        <v>0</v>
      </c>
      <c r="Z428" s="17">
        <f>N("Truebill")-IF(DAY(A428)=Budget!$Q$9,Budget!$P$9,0)</f>
        <v>0</v>
      </c>
      <c r="AA428" s="6">
        <f t="shared" si="48"/>
        <v>0</v>
      </c>
    </row>
    <row r="429" spans="1:27" x14ac:dyDescent="0.3">
      <c r="A429" s="4">
        <f t="shared" si="50"/>
        <v>46038</v>
      </c>
      <c r="B429" s="2">
        <f t="shared" si="49"/>
        <v>5928.73</v>
      </c>
      <c r="C429" s="7">
        <f t="shared" si="51"/>
        <v>2</v>
      </c>
      <c r="D429" s="1">
        <v>0</v>
      </c>
      <c r="E429" s="17">
        <f>N("PAY-LM")+IF(WEEKDAY(A429)=Budget!$C$3,Budget!$B$3,0)</f>
        <v>1453</v>
      </c>
      <c r="F429" s="17">
        <f>N("Rent")-IF(DAY(A429)=Budget!$G$3,Budget!$F$3,0)</f>
        <v>0</v>
      </c>
      <c r="G429" s="17">
        <f>N("Car")-IF(DAY(A429)=Budget!$G$4,Budget!$F$4+Budget!$H$4,0)</f>
        <v>0</v>
      </c>
      <c r="H429" s="17">
        <f>N("Mom Rent")-IF(DAY(A429)=Budget!$G$5,Budget!$F$5,0)</f>
        <v>0</v>
      </c>
      <c r="I429" s="17">
        <f>N("AT&amp;T")-IF(DAY(A429)=Budget!$G$8,Budget!$F$8,0)</f>
        <v>0</v>
      </c>
      <c r="J429" s="17">
        <f>N("GA Power")-IF(DAY(A429)=Budget!$G$9,Budget!$F$9,0)</f>
        <v>0</v>
      </c>
      <c r="K429" s="17">
        <f>N("Haircut")-IF(DAY(A429)=Budget!$G$10,Budget!$F$10,0)</f>
        <v>0</v>
      </c>
      <c r="L429" s="17">
        <f>N("Groceries")-IF(DAY(A429)=Budget!$G$6,Budget!$F$6,0)</f>
        <v>0</v>
      </c>
      <c r="M429" s="17">
        <f>N("Savings")-IF(DAY(A429)=Budget!$G$7,Budget!$F$7,0)</f>
        <v>0</v>
      </c>
      <c r="N429" s="17">
        <f>N("Car Insurance")-COUNTIF(Budget!$G$14, A429)*Budget!$F$14</f>
        <v>0</v>
      </c>
      <c r="O429" s="17">
        <f>N("Phone Bill")-COUNTIF(Budget!$G$15, A429)*Budget!$F$15</f>
        <v>0</v>
      </c>
      <c r="Q429" s="17">
        <f>N("Spotify")-IF(AND(DAY($A429)=Budget!$M$3, MONTH($A429)=Budget!$L$3),Budget!$K$3,0)</f>
        <v>0</v>
      </c>
      <c r="R429" s="17">
        <f>N("Spotify")-IF(AND(DAY($A429)=Budget!$M$4, MONTH($A429)=Budget!$L$4),Budget!$K$4,0)</f>
        <v>0</v>
      </c>
      <c r="S429" s="17">
        <f>N("Spotify")-IF(AND(DAY($A429)=Budget!$M$5, MONTH($A429)=Budget!$L$5),Budget!$K$5,0)</f>
        <v>0</v>
      </c>
      <c r="T429" s="17">
        <f>N("Amazon Prime")-IF(DAY(A429)=Budget!$Q$3,Budget!$P$3,0)</f>
        <v>0</v>
      </c>
      <c r="U429" s="17">
        <f>N("Audible")-IF(DAY(A429)=Budget!$Q$12,Budget!$P$12,0)</f>
        <v>0</v>
      </c>
      <c r="V429" s="17">
        <f>N("Crunchyroll")-IF(DAY(A429)=Budget!$Q$5,Budget!$P$5,0)</f>
        <v>0</v>
      </c>
      <c r="W429" s="17">
        <f>N("HBO Max")-IF(DAY(A429)=Budget!$Q$6,Budget!$P$6,0)</f>
        <v>0</v>
      </c>
      <c r="X429" s="17">
        <f>N("Netflix")-IF(DAY(A429)=Budget!$Q$7,Budget!$P$7,0)</f>
        <v>0</v>
      </c>
      <c r="Y429" s="17">
        <f>N("Spotify")-IF(DAY(A429)=Budget!$Q$8,Budget!$P$8,0)</f>
        <v>0</v>
      </c>
      <c r="Z429" s="17">
        <f>N("Truebill")-IF(DAY(A429)=Budget!$Q$9,Budget!$P$9,0)</f>
        <v>0</v>
      </c>
      <c r="AA429" s="6">
        <f t="shared" si="48"/>
        <v>1453</v>
      </c>
    </row>
    <row r="430" spans="1:27" x14ac:dyDescent="0.3">
      <c r="A430" s="4">
        <f t="shared" si="50"/>
        <v>46039</v>
      </c>
      <c r="B430" s="2">
        <f t="shared" si="49"/>
        <v>5928.73</v>
      </c>
      <c r="C430" s="7">
        <f t="shared" si="51"/>
        <v>1</v>
      </c>
      <c r="D430" s="1">
        <v>0</v>
      </c>
      <c r="E430" s="17">
        <f>N("PAY-LM")+IF(WEEKDAY(A430)=Budget!$C$3,Budget!$B$3,0)</f>
        <v>0</v>
      </c>
      <c r="F430" s="17">
        <f>N("Rent")-IF(DAY(A430)=Budget!$G$3,Budget!$F$3,0)</f>
        <v>0</v>
      </c>
      <c r="G430" s="17">
        <f>N("Car")-IF(DAY(A430)=Budget!$G$4,Budget!$F$4+Budget!$H$4,0)</f>
        <v>0</v>
      </c>
      <c r="H430" s="17">
        <f>N("Mom Rent")-IF(DAY(A430)=Budget!$G$5,Budget!$F$5,0)</f>
        <v>0</v>
      </c>
      <c r="I430" s="17">
        <f>N("AT&amp;T")-IF(DAY(A430)=Budget!$G$8,Budget!$F$8,0)</f>
        <v>0</v>
      </c>
      <c r="J430" s="17">
        <f>N("GA Power")-IF(DAY(A430)=Budget!$G$9,Budget!$F$9,0)</f>
        <v>0</v>
      </c>
      <c r="K430" s="17">
        <f>N("Haircut")-IF(DAY(A430)=Budget!$G$10,Budget!$F$10,0)</f>
        <v>0</v>
      </c>
      <c r="L430" s="17">
        <f>N("Groceries")-IF(DAY(A430)=Budget!$G$6,Budget!$F$6,0)</f>
        <v>0</v>
      </c>
      <c r="M430" s="17">
        <f>N("Savings")-IF(DAY(A430)=Budget!$G$7,Budget!$F$7,0)</f>
        <v>0</v>
      </c>
      <c r="N430" s="17">
        <f>N("Car Insurance")-COUNTIF(Budget!$G$14, A430)*Budget!$F$14</f>
        <v>0</v>
      </c>
      <c r="O430" s="17">
        <f>N("Phone Bill")-COUNTIF(Budget!$G$15, A430)*Budget!$F$15</f>
        <v>0</v>
      </c>
      <c r="Q430" s="17">
        <f>N("Spotify")-IF(AND(DAY($A430)=Budget!$M$3, MONTH($A430)=Budget!$L$3),Budget!$K$3,0)</f>
        <v>0</v>
      </c>
      <c r="R430" s="17">
        <f>N("Spotify")-IF(AND(DAY($A430)=Budget!$M$4, MONTH($A430)=Budget!$L$4),Budget!$K$4,0)</f>
        <v>0</v>
      </c>
      <c r="S430" s="17">
        <f>N("Spotify")-IF(AND(DAY($A430)=Budget!$M$5, MONTH($A430)=Budget!$L$5),Budget!$K$5,0)</f>
        <v>0</v>
      </c>
      <c r="T430" s="17">
        <f>N("Amazon Prime")-IF(DAY(A430)=Budget!$Q$3,Budget!$P$3,0)</f>
        <v>0</v>
      </c>
      <c r="U430" s="17">
        <f>N("Audible")-IF(DAY(A430)=Budget!$Q$12,Budget!$P$12,0)</f>
        <v>0</v>
      </c>
      <c r="V430" s="17">
        <f>N("Crunchyroll")-IF(DAY(A430)=Budget!$Q$5,Budget!$P$5,0)</f>
        <v>0</v>
      </c>
      <c r="W430" s="17">
        <f>N("HBO Max")-IF(DAY(A430)=Budget!$Q$6,Budget!$P$6,0)</f>
        <v>0</v>
      </c>
      <c r="X430" s="17">
        <f>N("Netflix")-IF(DAY(A430)=Budget!$Q$7,Budget!$P$7,0)</f>
        <v>0</v>
      </c>
      <c r="Y430" s="17">
        <f>N("Spotify")-IF(DAY(A430)=Budget!$Q$8,Budget!$P$8,0)</f>
        <v>0</v>
      </c>
      <c r="Z430" s="17">
        <f>N("Truebill")-IF(DAY(A430)=Budget!$Q$9,Budget!$P$9,0)</f>
        <v>0</v>
      </c>
      <c r="AA430" s="6">
        <f t="shared" si="48"/>
        <v>0</v>
      </c>
    </row>
    <row r="431" spans="1:27" x14ac:dyDescent="0.3">
      <c r="A431" s="4">
        <f t="shared" si="50"/>
        <v>46040</v>
      </c>
      <c r="B431" s="2">
        <f t="shared" si="49"/>
        <v>5863.73</v>
      </c>
      <c r="C431" s="7">
        <f t="shared" si="51"/>
        <v>0</v>
      </c>
      <c r="D431" s="1">
        <v>0</v>
      </c>
      <c r="E431" s="17">
        <f>N("PAY-LM")+IF(WEEKDAY(A431)=Budget!$C$3,Budget!$B$3,0)</f>
        <v>0</v>
      </c>
      <c r="F431" s="17">
        <f>N("Rent")-IF(DAY(A431)=Budget!$G$3,Budget!$F$3,0)</f>
        <v>0</v>
      </c>
      <c r="G431" s="17">
        <f>N("Car")-IF(DAY(A431)=Budget!$G$4,Budget!$F$4+Budget!$H$4,0)</f>
        <v>0</v>
      </c>
      <c r="H431" s="17">
        <f>N("Mom Rent")-IF(DAY(A431)=Budget!$G$5,Budget!$F$5,0)</f>
        <v>0</v>
      </c>
      <c r="I431" s="17">
        <f>N("AT&amp;T")-IF(DAY(A431)=Budget!$G$8,Budget!$F$8,0)</f>
        <v>-65</v>
      </c>
      <c r="J431" s="17">
        <f>N("GA Power")-IF(DAY(A431)=Budget!$G$9,Budget!$F$9,0)</f>
        <v>0</v>
      </c>
      <c r="K431" s="17">
        <f>N("Haircut")-IF(DAY(A431)=Budget!$G$10,Budget!$F$10,0)</f>
        <v>0</v>
      </c>
      <c r="L431" s="17">
        <f>N("Groceries")-IF(DAY(A431)=Budget!$G$6,Budget!$F$6,0)</f>
        <v>0</v>
      </c>
      <c r="M431" s="17">
        <f>N("Savings")-IF(DAY(A431)=Budget!$G$7,Budget!$F$7,0)</f>
        <v>0</v>
      </c>
      <c r="N431" s="17">
        <f>N("Car Insurance")-COUNTIF(Budget!$G$14, A431)*Budget!$F$14</f>
        <v>0</v>
      </c>
      <c r="O431" s="17">
        <f>N("Phone Bill")-COUNTIF(Budget!$G$15, A431)*Budget!$F$15</f>
        <v>0</v>
      </c>
      <c r="Q431" s="17">
        <f>N("Spotify")-IF(AND(DAY($A431)=Budget!$M$3, MONTH($A431)=Budget!$L$3),Budget!$K$3,0)</f>
        <v>0</v>
      </c>
      <c r="R431" s="17">
        <f>N("Spotify")-IF(AND(DAY($A431)=Budget!$M$4, MONTH($A431)=Budget!$L$4),Budget!$K$4,0)</f>
        <v>0</v>
      </c>
      <c r="S431" s="17">
        <f>N("Spotify")-IF(AND(DAY($A431)=Budget!$M$5, MONTH($A431)=Budget!$L$5),Budget!$K$5,0)</f>
        <v>0</v>
      </c>
      <c r="T431" s="17">
        <f>N("Amazon Prime")-IF(DAY(A431)=Budget!$Q$3,Budget!$P$3,0)</f>
        <v>0</v>
      </c>
      <c r="U431" s="17">
        <f>N("Audible")-IF(DAY(A431)=Budget!$Q$12,Budget!$P$12,0)</f>
        <v>0</v>
      </c>
      <c r="V431" s="17">
        <f>N("Crunchyroll")-IF(DAY(A431)=Budget!$Q$5,Budget!$P$5,0)</f>
        <v>0</v>
      </c>
      <c r="W431" s="17">
        <f>N("HBO Max")-IF(DAY(A431)=Budget!$Q$6,Budget!$P$6,0)</f>
        <v>0</v>
      </c>
      <c r="X431" s="17">
        <f>N("Netflix")-IF(DAY(A431)=Budget!$Q$7,Budget!$P$7,0)</f>
        <v>0</v>
      </c>
      <c r="Y431" s="17">
        <f>N("Spotify")-IF(DAY(A431)=Budget!$Q$8,Budget!$P$8,0)</f>
        <v>0</v>
      </c>
      <c r="Z431" s="17">
        <f>N("Truebill")-IF(DAY(A431)=Budget!$Q$9,Budget!$P$9,0)</f>
        <v>0</v>
      </c>
      <c r="AA431" s="6">
        <f t="shared" si="48"/>
        <v>-65</v>
      </c>
    </row>
    <row r="432" spans="1:27" x14ac:dyDescent="0.3">
      <c r="A432" s="4">
        <f t="shared" si="50"/>
        <v>46041</v>
      </c>
      <c r="B432" s="2">
        <f t="shared" si="49"/>
        <v>5863.73</v>
      </c>
      <c r="C432" s="7">
        <f t="shared" si="51"/>
        <v>1</v>
      </c>
      <c r="D432" s="1">
        <v>0</v>
      </c>
      <c r="E432" s="17">
        <f>N("PAY-LM")+IF(WEEKDAY(A432)=Budget!$C$3,Budget!$B$3,0)</f>
        <v>0</v>
      </c>
      <c r="F432" s="17">
        <f>N("Rent")-IF(DAY(A432)=Budget!$G$3,Budget!$F$3,0)</f>
        <v>0</v>
      </c>
      <c r="G432" s="17">
        <f>N("Car")-IF(DAY(A432)=Budget!$G$4,Budget!$F$4+Budget!$H$4,0)</f>
        <v>0</v>
      </c>
      <c r="H432" s="17">
        <f>N("Mom Rent")-IF(DAY(A432)=Budget!$G$5,Budget!$F$5,0)</f>
        <v>0</v>
      </c>
      <c r="I432" s="17">
        <f>N("AT&amp;T")-IF(DAY(A432)=Budget!$G$8,Budget!$F$8,0)</f>
        <v>0</v>
      </c>
      <c r="J432" s="17">
        <f>N("GA Power")-IF(DAY(A432)=Budget!$G$9,Budget!$F$9,0)</f>
        <v>0</v>
      </c>
      <c r="K432" s="17">
        <f>N("Haircut")-IF(DAY(A432)=Budget!$G$10,Budget!$F$10,0)</f>
        <v>0</v>
      </c>
      <c r="L432" s="17">
        <f>N("Groceries")-IF(DAY(A432)=Budget!$G$6,Budget!$F$6,0)</f>
        <v>0</v>
      </c>
      <c r="M432" s="17">
        <f>N("Savings")-IF(DAY(A432)=Budget!$G$7,Budget!$F$7,0)</f>
        <v>0</v>
      </c>
      <c r="N432" s="17">
        <f>N("Car Insurance")-COUNTIF(Budget!$G$14, A432)*Budget!$F$14</f>
        <v>0</v>
      </c>
      <c r="O432" s="17">
        <f>N("Phone Bill")-COUNTIF(Budget!$G$15, A432)*Budget!$F$15</f>
        <v>0</v>
      </c>
      <c r="Q432" s="17">
        <f>N("Spotify")-IF(AND(DAY($A432)=Budget!$M$3, MONTH($A432)=Budget!$L$3),Budget!$K$3,0)</f>
        <v>0</v>
      </c>
      <c r="R432" s="17">
        <f>N("Spotify")-IF(AND(DAY($A432)=Budget!$M$4, MONTH($A432)=Budget!$L$4),Budget!$K$4,0)</f>
        <v>0</v>
      </c>
      <c r="S432" s="17">
        <f>N("Spotify")-IF(AND(DAY($A432)=Budget!$M$5, MONTH($A432)=Budget!$L$5),Budget!$K$5,0)</f>
        <v>0</v>
      </c>
      <c r="T432" s="17">
        <f>N("Amazon Prime")-IF(DAY(A432)=Budget!$Q$3,Budget!$P$3,0)</f>
        <v>0</v>
      </c>
      <c r="U432" s="17">
        <f>N("Audible")-IF(DAY(A432)=Budget!$Q$12,Budget!$P$12,0)</f>
        <v>0</v>
      </c>
      <c r="V432" s="17">
        <f>N("Crunchyroll")-IF(DAY(A432)=Budget!$Q$5,Budget!$P$5,0)</f>
        <v>0</v>
      </c>
      <c r="W432" s="17">
        <f>N("HBO Max")-IF(DAY(A432)=Budget!$Q$6,Budget!$P$6,0)</f>
        <v>0</v>
      </c>
      <c r="X432" s="17">
        <f>N("Netflix")-IF(DAY(A432)=Budget!$Q$7,Budget!$P$7,0)</f>
        <v>0</v>
      </c>
      <c r="Y432" s="17">
        <f>N("Spotify")-IF(DAY(A432)=Budget!$Q$8,Budget!$P$8,0)</f>
        <v>0</v>
      </c>
      <c r="Z432" s="17">
        <f>N("Truebill")-IF(DAY(A432)=Budget!$Q$9,Budget!$P$9,0)</f>
        <v>0</v>
      </c>
      <c r="AA432" s="6">
        <f t="shared" si="48"/>
        <v>0</v>
      </c>
    </row>
    <row r="433" spans="1:27" x14ac:dyDescent="0.3">
      <c r="A433" s="4">
        <f t="shared" si="50"/>
        <v>46042</v>
      </c>
      <c r="B433" s="2">
        <f t="shared" si="49"/>
        <v>5013.7299999999996</v>
      </c>
      <c r="C433" s="7">
        <f t="shared" si="51"/>
        <v>0</v>
      </c>
      <c r="D433" s="1">
        <v>0</v>
      </c>
      <c r="E433" s="17">
        <f>N("PAY-LM")+IF(WEEKDAY(A433)=Budget!$C$3,Budget!$B$3,0)</f>
        <v>0</v>
      </c>
      <c r="F433" s="17">
        <f>N("Rent")-IF(DAY(A433)=Budget!$G$3,Budget!$F$3,0)</f>
        <v>0</v>
      </c>
      <c r="G433" s="17">
        <f>N("Car")-IF(DAY(A433)=Budget!$G$4,Budget!$F$4+Budget!$H$4,0)</f>
        <v>0</v>
      </c>
      <c r="H433" s="17">
        <f>N("Mom Rent")-IF(DAY(A433)=Budget!$G$5,Budget!$F$5,0)</f>
        <v>-850</v>
      </c>
      <c r="I433" s="17">
        <f>N("AT&amp;T")-IF(DAY(A433)=Budget!$G$8,Budget!$F$8,0)</f>
        <v>0</v>
      </c>
      <c r="J433" s="17">
        <f>N("GA Power")-IF(DAY(A433)=Budget!$G$9,Budget!$F$9,0)</f>
        <v>0</v>
      </c>
      <c r="K433" s="17">
        <f>N("Haircut")-IF(DAY(A433)=Budget!$G$10,Budget!$F$10,0)</f>
        <v>0</v>
      </c>
      <c r="L433" s="17">
        <f>N("Groceries")-IF(DAY(A433)=Budget!$G$6,Budget!$F$6,0)</f>
        <v>0</v>
      </c>
      <c r="M433" s="17">
        <f>N("Savings")-IF(DAY(A433)=Budget!$G$7,Budget!$F$7,0)</f>
        <v>0</v>
      </c>
      <c r="N433" s="17">
        <f>N("Car Insurance")-COUNTIF(Budget!$G$14, A433)*Budget!$F$14</f>
        <v>0</v>
      </c>
      <c r="O433" s="17">
        <f>N("Phone Bill")-COUNTIF(Budget!$G$15, A433)*Budget!$F$15</f>
        <v>0</v>
      </c>
      <c r="Q433" s="17">
        <f>N("Spotify")-IF(AND(DAY($A433)=Budget!$M$3, MONTH($A433)=Budget!$L$3),Budget!$K$3,0)</f>
        <v>0</v>
      </c>
      <c r="R433" s="17">
        <f>N("Spotify")-IF(AND(DAY($A433)=Budget!$M$4, MONTH($A433)=Budget!$L$4),Budget!$K$4,0)</f>
        <v>0</v>
      </c>
      <c r="S433" s="17">
        <f>N("Spotify")-IF(AND(DAY($A433)=Budget!$M$5, MONTH($A433)=Budget!$L$5),Budget!$K$5,0)</f>
        <v>0</v>
      </c>
      <c r="T433" s="17">
        <f>N("Amazon Prime")-IF(DAY(A433)=Budget!$Q$3,Budget!$P$3,0)</f>
        <v>0</v>
      </c>
      <c r="U433" s="17">
        <f>N("Audible")-IF(DAY(A433)=Budget!$Q$12,Budget!$P$12,0)</f>
        <v>0</v>
      </c>
      <c r="V433" s="17">
        <f>N("Crunchyroll")-IF(DAY(A433)=Budget!$Q$5,Budget!$P$5,0)</f>
        <v>0</v>
      </c>
      <c r="W433" s="17">
        <f>N("HBO Max")-IF(DAY(A433)=Budget!$Q$6,Budget!$P$6,0)</f>
        <v>0</v>
      </c>
      <c r="X433" s="17">
        <f>N("Netflix")-IF(DAY(A433)=Budget!$Q$7,Budget!$P$7,0)</f>
        <v>0</v>
      </c>
      <c r="Y433" s="17">
        <f>N("Spotify")-IF(DAY(A433)=Budget!$Q$8,Budget!$P$8,0)</f>
        <v>0</v>
      </c>
      <c r="Z433" s="17">
        <f>N("Truebill")-IF(DAY(A433)=Budget!$Q$9,Budget!$P$9,0)</f>
        <v>0</v>
      </c>
      <c r="AA433" s="6">
        <f t="shared" si="48"/>
        <v>-850</v>
      </c>
    </row>
    <row r="434" spans="1:27" x14ac:dyDescent="0.3">
      <c r="A434" s="4">
        <f t="shared" si="50"/>
        <v>46043</v>
      </c>
      <c r="B434" s="2">
        <f t="shared" si="49"/>
        <v>5013.7299999999996</v>
      </c>
      <c r="C434" s="7">
        <f t="shared" si="51"/>
        <v>1</v>
      </c>
      <c r="D434" s="1">
        <v>0</v>
      </c>
      <c r="E434" s="17">
        <f>N("PAY-LM")+IF(WEEKDAY(A434)=Budget!$C$3,Budget!$B$3,0)</f>
        <v>0</v>
      </c>
      <c r="F434" s="17">
        <f>N("Rent")-IF(DAY(A434)=Budget!$G$3,Budget!$F$3,0)</f>
        <v>0</v>
      </c>
      <c r="G434" s="17">
        <f>N("Car")-IF(DAY(A434)=Budget!$G$4,Budget!$F$4+Budget!$H$4,0)</f>
        <v>0</v>
      </c>
      <c r="H434" s="17">
        <f>N("Mom Rent")-IF(DAY(A434)=Budget!$G$5,Budget!$F$5,0)</f>
        <v>0</v>
      </c>
      <c r="I434" s="17">
        <f>N("AT&amp;T")-IF(DAY(A434)=Budget!$G$8,Budget!$F$8,0)</f>
        <v>0</v>
      </c>
      <c r="J434" s="17">
        <f>N("GA Power")-IF(DAY(A434)=Budget!$G$9,Budget!$F$9,0)</f>
        <v>0</v>
      </c>
      <c r="K434" s="17">
        <f>N("Haircut")-IF(DAY(A434)=Budget!$G$10,Budget!$F$10,0)</f>
        <v>0</v>
      </c>
      <c r="L434" s="17">
        <f>N("Groceries")-IF(DAY(A434)=Budget!$G$6,Budget!$F$6,0)</f>
        <v>0</v>
      </c>
      <c r="M434" s="17">
        <f>N("Savings")-IF(DAY(A434)=Budget!$G$7,Budget!$F$7,0)</f>
        <v>0</v>
      </c>
      <c r="N434" s="17">
        <f>N("Car Insurance")-COUNTIF(Budget!$G$14, A434)*Budget!$F$14</f>
        <v>0</v>
      </c>
      <c r="O434" s="17">
        <f>N("Phone Bill")-COUNTIF(Budget!$G$15, A434)*Budget!$F$15</f>
        <v>0</v>
      </c>
      <c r="Q434" s="17">
        <f>N("Spotify")-IF(AND(DAY($A434)=Budget!$M$3, MONTH($A434)=Budget!$L$3),Budget!$K$3,0)</f>
        <v>0</v>
      </c>
      <c r="R434" s="17">
        <f>N("Spotify")-IF(AND(DAY($A434)=Budget!$M$4, MONTH($A434)=Budget!$L$4),Budget!$K$4,0)</f>
        <v>0</v>
      </c>
      <c r="S434" s="17">
        <f>N("Spotify")-IF(AND(DAY($A434)=Budget!$M$5, MONTH($A434)=Budget!$L$5),Budget!$K$5,0)</f>
        <v>0</v>
      </c>
      <c r="T434" s="17">
        <f>N("Amazon Prime")-IF(DAY(A434)=Budget!$Q$3,Budget!$P$3,0)</f>
        <v>0</v>
      </c>
      <c r="U434" s="17">
        <f>N("Audible")-IF(DAY(A434)=Budget!$Q$12,Budget!$P$12,0)</f>
        <v>0</v>
      </c>
      <c r="V434" s="17">
        <f>N("Crunchyroll")-IF(DAY(A434)=Budget!$Q$5,Budget!$P$5,0)</f>
        <v>0</v>
      </c>
      <c r="W434" s="17">
        <f>N("HBO Max")-IF(DAY(A434)=Budget!$Q$6,Budget!$P$6,0)</f>
        <v>0</v>
      </c>
      <c r="X434" s="17">
        <f>N("Netflix")-IF(DAY(A434)=Budget!$Q$7,Budget!$P$7,0)</f>
        <v>0</v>
      </c>
      <c r="Y434" s="17">
        <f>N("Spotify")-IF(DAY(A434)=Budget!$Q$8,Budget!$P$8,0)</f>
        <v>0</v>
      </c>
      <c r="Z434" s="17">
        <f>N("Truebill")-IF(DAY(A434)=Budget!$Q$9,Budget!$P$9,0)</f>
        <v>0</v>
      </c>
      <c r="AA434" s="6">
        <f t="shared" si="48"/>
        <v>0</v>
      </c>
    </row>
    <row r="435" spans="1:27" x14ac:dyDescent="0.3">
      <c r="A435" s="4">
        <f t="shared" si="50"/>
        <v>46044</v>
      </c>
      <c r="B435" s="2">
        <f t="shared" si="49"/>
        <v>5013.7299999999996</v>
      </c>
      <c r="C435" s="7">
        <f t="shared" si="51"/>
        <v>1</v>
      </c>
      <c r="D435" s="1">
        <v>0</v>
      </c>
      <c r="E435" s="17">
        <f>N("PAY-LM")+IF(WEEKDAY(A435)=Budget!$C$3,Budget!$B$3,0)</f>
        <v>0</v>
      </c>
      <c r="F435" s="17">
        <f>N("Rent")-IF(DAY(A435)=Budget!$G$3,Budget!$F$3,0)</f>
        <v>0</v>
      </c>
      <c r="G435" s="17">
        <f>N("Car")-IF(DAY(A435)=Budget!$G$4,Budget!$F$4+Budget!$H$4,0)</f>
        <v>0</v>
      </c>
      <c r="H435" s="17">
        <f>N("Mom Rent")-IF(DAY(A435)=Budget!$G$5,Budget!$F$5,0)</f>
        <v>0</v>
      </c>
      <c r="I435" s="17">
        <f>N("AT&amp;T")-IF(DAY(A435)=Budget!$G$8,Budget!$F$8,0)</f>
        <v>0</v>
      </c>
      <c r="J435" s="17">
        <f>N("GA Power")-IF(DAY(A435)=Budget!$G$9,Budget!$F$9,0)</f>
        <v>0</v>
      </c>
      <c r="K435" s="17">
        <f>N("Haircut")-IF(DAY(A435)=Budget!$G$10,Budget!$F$10,0)</f>
        <v>0</v>
      </c>
      <c r="L435" s="17">
        <f>N("Groceries")-IF(DAY(A435)=Budget!$G$6,Budget!$F$6,0)</f>
        <v>0</v>
      </c>
      <c r="M435" s="17">
        <f>N("Savings")-IF(DAY(A435)=Budget!$G$7,Budget!$F$7,0)</f>
        <v>0</v>
      </c>
      <c r="N435" s="17">
        <f>N("Car Insurance")-COUNTIF(Budget!$G$14, A435)*Budget!$F$14</f>
        <v>0</v>
      </c>
      <c r="O435" s="17">
        <f>N("Phone Bill")-COUNTIF(Budget!$G$15, A435)*Budget!$F$15</f>
        <v>0</v>
      </c>
      <c r="Q435" s="17">
        <f>N("Spotify")-IF(AND(DAY($A435)=Budget!$M$3, MONTH($A435)=Budget!$L$3),Budget!$K$3,0)</f>
        <v>0</v>
      </c>
      <c r="R435" s="17">
        <f>N("Spotify")-IF(AND(DAY($A435)=Budget!$M$4, MONTH($A435)=Budget!$L$4),Budget!$K$4,0)</f>
        <v>0</v>
      </c>
      <c r="S435" s="17">
        <f>N("Spotify")-IF(AND(DAY($A435)=Budget!$M$5, MONTH($A435)=Budget!$L$5),Budget!$K$5,0)</f>
        <v>0</v>
      </c>
      <c r="T435" s="17">
        <f>N("Amazon Prime")-IF(DAY(A435)=Budget!$Q$3,Budget!$P$3,0)</f>
        <v>0</v>
      </c>
      <c r="U435" s="17">
        <f>N("Audible")-IF(DAY(A435)=Budget!$Q$12,Budget!$P$12,0)</f>
        <v>0</v>
      </c>
      <c r="V435" s="17">
        <f>N("Crunchyroll")-IF(DAY(A435)=Budget!$Q$5,Budget!$P$5,0)</f>
        <v>0</v>
      </c>
      <c r="W435" s="17">
        <f>N("HBO Max")-IF(DAY(A435)=Budget!$Q$6,Budget!$P$6,0)</f>
        <v>0</v>
      </c>
      <c r="X435" s="17">
        <f>N("Netflix")-IF(DAY(A435)=Budget!$Q$7,Budget!$P$7,0)</f>
        <v>0</v>
      </c>
      <c r="Y435" s="17">
        <f>N("Spotify")-IF(DAY(A435)=Budget!$Q$8,Budget!$P$8,0)</f>
        <v>0</v>
      </c>
      <c r="Z435" s="17">
        <f>N("Truebill")-IF(DAY(A435)=Budget!$Q$9,Budget!$P$9,0)</f>
        <v>0</v>
      </c>
      <c r="AA435" s="6">
        <f t="shared" si="48"/>
        <v>0</v>
      </c>
    </row>
    <row r="436" spans="1:27" x14ac:dyDescent="0.3">
      <c r="A436" s="4">
        <f t="shared" si="50"/>
        <v>46045</v>
      </c>
      <c r="B436" s="2">
        <f t="shared" si="49"/>
        <v>6466.73</v>
      </c>
      <c r="C436" s="7">
        <f t="shared" si="51"/>
        <v>2</v>
      </c>
      <c r="D436" s="1">
        <v>0</v>
      </c>
      <c r="E436" s="17">
        <f>N("PAY-LM")+IF(WEEKDAY(A436)=Budget!$C$3,Budget!$B$3,0)</f>
        <v>1453</v>
      </c>
      <c r="F436" s="17">
        <f>N("Rent")-IF(DAY(A436)=Budget!$G$3,Budget!$F$3,0)</f>
        <v>0</v>
      </c>
      <c r="G436" s="17">
        <f>N("Car")-IF(DAY(A436)=Budget!$G$4,Budget!$F$4+Budget!$H$4,0)</f>
        <v>0</v>
      </c>
      <c r="H436" s="17">
        <f>N("Mom Rent")-IF(DAY(A436)=Budget!$G$5,Budget!$F$5,0)</f>
        <v>0</v>
      </c>
      <c r="I436" s="17">
        <f>N("AT&amp;T")-IF(DAY(A436)=Budget!$G$8,Budget!$F$8,0)</f>
        <v>0</v>
      </c>
      <c r="J436" s="17">
        <f>N("GA Power")-IF(DAY(A436)=Budget!$G$9,Budget!$F$9,0)</f>
        <v>0</v>
      </c>
      <c r="K436" s="17">
        <f>N("Haircut")-IF(DAY(A436)=Budget!$G$10,Budget!$F$10,0)</f>
        <v>0</v>
      </c>
      <c r="L436" s="17">
        <f>N("Groceries")-IF(DAY(A436)=Budget!$G$6,Budget!$F$6,0)</f>
        <v>0</v>
      </c>
      <c r="M436" s="17">
        <f>N("Savings")-IF(DAY(A436)=Budget!$G$7,Budget!$F$7,0)</f>
        <v>0</v>
      </c>
      <c r="N436" s="17">
        <f>N("Car Insurance")-COUNTIF(Budget!$G$14, A436)*Budget!$F$14</f>
        <v>0</v>
      </c>
      <c r="O436" s="17">
        <f>N("Phone Bill")-COUNTIF(Budget!$G$15, A436)*Budget!$F$15</f>
        <v>0</v>
      </c>
      <c r="Q436" s="17">
        <f>N("Spotify")-IF(AND(DAY($A436)=Budget!$M$3, MONTH($A436)=Budget!$L$3),Budget!$K$3,0)</f>
        <v>0</v>
      </c>
      <c r="R436" s="17">
        <f>N("Spotify")-IF(AND(DAY($A436)=Budget!$M$4, MONTH($A436)=Budget!$L$4),Budget!$K$4,0)</f>
        <v>0</v>
      </c>
      <c r="S436" s="17">
        <f>N("Spotify")-IF(AND(DAY($A436)=Budget!$M$5, MONTH($A436)=Budget!$L$5),Budget!$K$5,0)</f>
        <v>0</v>
      </c>
      <c r="T436" s="17">
        <f>N("Amazon Prime")-IF(DAY(A436)=Budget!$Q$3,Budget!$P$3,0)</f>
        <v>0</v>
      </c>
      <c r="U436" s="17">
        <f>N("Audible")-IF(DAY(A436)=Budget!$Q$12,Budget!$P$12,0)</f>
        <v>0</v>
      </c>
      <c r="V436" s="17">
        <f>N("Crunchyroll")-IF(DAY(A436)=Budget!$Q$5,Budget!$P$5,0)</f>
        <v>0</v>
      </c>
      <c r="W436" s="17">
        <f>N("HBO Max")-IF(DAY(A436)=Budget!$Q$6,Budget!$P$6,0)</f>
        <v>0</v>
      </c>
      <c r="X436" s="17">
        <f>N("Netflix")-IF(DAY(A436)=Budget!$Q$7,Budget!$P$7,0)</f>
        <v>0</v>
      </c>
      <c r="Y436" s="17">
        <f>N("Spotify")-IF(DAY(A436)=Budget!$Q$8,Budget!$P$8,0)</f>
        <v>0</v>
      </c>
      <c r="Z436" s="17">
        <f>N("Truebill")-IF(DAY(A436)=Budget!$Q$9,Budget!$P$9,0)</f>
        <v>0</v>
      </c>
      <c r="AA436" s="6">
        <f t="shared" si="48"/>
        <v>1453</v>
      </c>
    </row>
    <row r="437" spans="1:27" x14ac:dyDescent="0.3">
      <c r="A437" s="4">
        <f t="shared" si="50"/>
        <v>46046</v>
      </c>
      <c r="B437" s="2">
        <f t="shared" si="49"/>
        <v>6466.73</v>
      </c>
      <c r="C437" s="7">
        <f t="shared" si="51"/>
        <v>1</v>
      </c>
      <c r="D437" s="1">
        <v>0</v>
      </c>
      <c r="E437" s="17">
        <f>N("PAY-LM")+IF(WEEKDAY(A437)=Budget!$C$3,Budget!$B$3,0)</f>
        <v>0</v>
      </c>
      <c r="F437" s="17">
        <f>N("Rent")-IF(DAY(A437)=Budget!$G$3,Budget!$F$3,0)</f>
        <v>0</v>
      </c>
      <c r="G437" s="17">
        <f>N("Car")-IF(DAY(A437)=Budget!$G$4,Budget!$F$4+Budget!$H$4,0)</f>
        <v>0</v>
      </c>
      <c r="H437" s="17">
        <f>N("Mom Rent")-IF(DAY(A437)=Budget!$G$5,Budget!$F$5,0)</f>
        <v>0</v>
      </c>
      <c r="I437" s="17">
        <f>N("AT&amp;T")-IF(DAY(A437)=Budget!$G$8,Budget!$F$8,0)</f>
        <v>0</v>
      </c>
      <c r="J437" s="17">
        <f>N("GA Power")-IF(DAY(A437)=Budget!$G$9,Budget!$F$9,0)</f>
        <v>0</v>
      </c>
      <c r="K437" s="17">
        <f>N("Haircut")-IF(DAY(A437)=Budget!$G$10,Budget!$F$10,0)</f>
        <v>0</v>
      </c>
      <c r="L437" s="17">
        <f>N("Groceries")-IF(DAY(A437)=Budget!$G$6,Budget!$F$6,0)</f>
        <v>0</v>
      </c>
      <c r="M437" s="17">
        <f>N("Savings")-IF(DAY(A437)=Budget!$G$7,Budget!$F$7,0)</f>
        <v>0</v>
      </c>
      <c r="N437" s="17">
        <f>N("Car Insurance")-COUNTIF(Budget!$G$14, A437)*Budget!$F$14</f>
        <v>0</v>
      </c>
      <c r="O437" s="17">
        <f>N("Phone Bill")-COUNTIF(Budget!$G$15, A437)*Budget!$F$15</f>
        <v>0</v>
      </c>
      <c r="Q437" s="17">
        <f>N("Spotify")-IF(AND(DAY($A437)=Budget!$M$3, MONTH($A437)=Budget!$L$3),Budget!$K$3,0)</f>
        <v>0</v>
      </c>
      <c r="R437" s="17">
        <f>N("Spotify")-IF(AND(DAY($A437)=Budget!$M$4, MONTH($A437)=Budget!$L$4),Budget!$K$4,0)</f>
        <v>0</v>
      </c>
      <c r="S437" s="17">
        <f>N("Spotify")-IF(AND(DAY($A437)=Budget!$M$5, MONTH($A437)=Budget!$L$5),Budget!$K$5,0)</f>
        <v>0</v>
      </c>
      <c r="T437" s="17">
        <f>N("Amazon Prime")-IF(DAY(A437)=Budget!$Q$3,Budget!$P$3,0)</f>
        <v>0</v>
      </c>
      <c r="U437" s="17">
        <f>N("Audible")-IF(DAY(A437)=Budget!$Q$12,Budget!$P$12,0)</f>
        <v>0</v>
      </c>
      <c r="V437" s="17">
        <f>N("Crunchyroll")-IF(DAY(A437)=Budget!$Q$5,Budget!$P$5,0)</f>
        <v>0</v>
      </c>
      <c r="W437" s="17">
        <f>N("HBO Max")-IF(DAY(A437)=Budget!$Q$6,Budget!$P$6,0)</f>
        <v>0</v>
      </c>
      <c r="X437" s="17">
        <f>N("Netflix")-IF(DAY(A437)=Budget!$Q$7,Budget!$P$7,0)</f>
        <v>0</v>
      </c>
      <c r="Y437" s="17">
        <f>N("Spotify")-IF(DAY(A437)=Budget!$Q$8,Budget!$P$8,0)</f>
        <v>0</v>
      </c>
      <c r="Z437" s="17">
        <f>N("Truebill")-IF(DAY(A437)=Budget!$Q$9,Budget!$P$9,0)</f>
        <v>0</v>
      </c>
      <c r="AA437" s="6">
        <f t="shared" si="48"/>
        <v>0</v>
      </c>
    </row>
    <row r="438" spans="1:27" x14ac:dyDescent="0.3">
      <c r="A438" s="4">
        <f t="shared" si="50"/>
        <v>46047</v>
      </c>
      <c r="B438" s="2">
        <f t="shared" si="49"/>
        <v>6466.73</v>
      </c>
      <c r="C438" s="7">
        <f t="shared" si="51"/>
        <v>1</v>
      </c>
      <c r="D438" s="1">
        <v>0</v>
      </c>
      <c r="E438" s="17">
        <f>N("PAY-LM")+IF(WEEKDAY(A438)=Budget!$C$3,Budget!$B$3,0)</f>
        <v>0</v>
      </c>
      <c r="F438" s="17">
        <f>N("Rent")-IF(DAY(A438)=Budget!$G$3,Budget!$F$3,0)</f>
        <v>0</v>
      </c>
      <c r="G438" s="17">
        <f>N("Car")-IF(DAY(A438)=Budget!$G$4,Budget!$F$4+Budget!$H$4,0)</f>
        <v>0</v>
      </c>
      <c r="H438" s="17">
        <f>N("Mom Rent")-IF(DAY(A438)=Budget!$G$5,Budget!$F$5,0)</f>
        <v>0</v>
      </c>
      <c r="I438" s="17">
        <f>N("AT&amp;T")-IF(DAY(A438)=Budget!$G$8,Budget!$F$8,0)</f>
        <v>0</v>
      </c>
      <c r="J438" s="17">
        <f>N("GA Power")-IF(DAY(A438)=Budget!$G$9,Budget!$F$9,0)</f>
        <v>0</v>
      </c>
      <c r="K438" s="17">
        <f>N("Haircut")-IF(DAY(A438)=Budget!$G$10,Budget!$F$10,0)</f>
        <v>0</v>
      </c>
      <c r="L438" s="17">
        <f>N("Groceries")-IF(DAY(A438)=Budget!$G$6,Budget!$F$6,0)</f>
        <v>0</v>
      </c>
      <c r="M438" s="17">
        <f>N("Savings")-IF(DAY(A438)=Budget!$G$7,Budget!$F$7,0)</f>
        <v>0</v>
      </c>
      <c r="N438" s="17">
        <f>N("Car Insurance")-COUNTIF(Budget!$G$14, A438)*Budget!$F$14</f>
        <v>0</v>
      </c>
      <c r="O438" s="17">
        <f>N("Phone Bill")-COUNTIF(Budget!$G$15, A438)*Budget!$F$15</f>
        <v>0</v>
      </c>
      <c r="Q438" s="17">
        <f>N("Spotify")-IF(AND(DAY($A438)=Budget!$M$3, MONTH($A438)=Budget!$L$3),Budget!$K$3,0)</f>
        <v>0</v>
      </c>
      <c r="R438" s="17">
        <f>N("Spotify")-IF(AND(DAY($A438)=Budget!$M$4, MONTH($A438)=Budget!$L$4),Budget!$K$4,0)</f>
        <v>0</v>
      </c>
      <c r="S438" s="17">
        <f>N("Spotify")-IF(AND(DAY($A438)=Budget!$M$5, MONTH($A438)=Budget!$L$5),Budget!$K$5,0)</f>
        <v>0</v>
      </c>
      <c r="T438" s="17">
        <f>N("Amazon Prime")-IF(DAY(A438)=Budget!$Q$3,Budget!$P$3,0)</f>
        <v>0</v>
      </c>
      <c r="U438" s="17">
        <f>N("Audible")-IF(DAY(A438)=Budget!$Q$12,Budget!$P$12,0)</f>
        <v>0</v>
      </c>
      <c r="V438" s="17">
        <f>N("Crunchyroll")-IF(DAY(A438)=Budget!$Q$5,Budget!$P$5,0)</f>
        <v>0</v>
      </c>
      <c r="W438" s="17">
        <f>N("HBO Max")-IF(DAY(A438)=Budget!$Q$6,Budget!$P$6,0)</f>
        <v>0</v>
      </c>
      <c r="X438" s="17">
        <f>N("Netflix")-IF(DAY(A438)=Budget!$Q$7,Budget!$P$7,0)</f>
        <v>0</v>
      </c>
      <c r="Y438" s="17">
        <f>N("Spotify")-IF(DAY(A438)=Budget!$Q$8,Budget!$P$8,0)</f>
        <v>0</v>
      </c>
      <c r="Z438" s="17">
        <f>N("Truebill")-IF(DAY(A438)=Budget!$Q$9,Budget!$P$9,0)</f>
        <v>0</v>
      </c>
      <c r="AA438" s="6">
        <f t="shared" si="48"/>
        <v>0</v>
      </c>
    </row>
    <row r="439" spans="1:27" x14ac:dyDescent="0.3">
      <c r="A439" s="4">
        <f t="shared" si="50"/>
        <v>46048</v>
      </c>
      <c r="B439" s="2">
        <f t="shared" si="49"/>
        <v>6066.73</v>
      </c>
      <c r="C439" s="7">
        <f t="shared" si="51"/>
        <v>0</v>
      </c>
      <c r="D439" s="1">
        <v>0</v>
      </c>
      <c r="E439" s="17">
        <f>N("PAY-LM")+IF(WEEKDAY(A439)=Budget!$C$3,Budget!$B$3,0)</f>
        <v>0</v>
      </c>
      <c r="F439" s="17">
        <f>N("Rent")-IF(DAY(A439)=Budget!$G$3,Budget!$F$3,0)</f>
        <v>0</v>
      </c>
      <c r="G439" s="17">
        <f>N("Car")-IF(DAY(A439)=Budget!$G$4,Budget!$F$4+Budget!$H$4,0)</f>
        <v>0</v>
      </c>
      <c r="H439" s="17">
        <f>N("Mom Rent")-IF(DAY(A439)=Budget!$G$5,Budget!$F$5,0)</f>
        <v>0</v>
      </c>
      <c r="I439" s="17">
        <f>N("AT&amp;T")-IF(DAY(A439)=Budget!$G$8,Budget!$F$8,0)</f>
        <v>0</v>
      </c>
      <c r="J439" s="17">
        <f>N("GA Power")-IF(DAY(A439)=Budget!$G$9,Budget!$F$9,0)</f>
        <v>0</v>
      </c>
      <c r="K439" s="17">
        <f>N("Haircut")-IF(DAY(A439)=Budget!$G$10,Budget!$F$10,0)</f>
        <v>-400</v>
      </c>
      <c r="L439" s="17">
        <f>N("Groceries")-IF(DAY(A439)=Budget!$G$6,Budget!$F$6,0)</f>
        <v>0</v>
      </c>
      <c r="M439" s="17">
        <f>N("Savings")-IF(DAY(A439)=Budget!$G$7,Budget!$F$7,0)</f>
        <v>0</v>
      </c>
      <c r="N439" s="17">
        <f>N("Car Insurance")-COUNTIF(Budget!$G$14, A439)*Budget!$F$14</f>
        <v>0</v>
      </c>
      <c r="O439" s="17">
        <f>N("Phone Bill")-COUNTIF(Budget!$G$15, A439)*Budget!$F$15</f>
        <v>0</v>
      </c>
      <c r="Q439" s="17">
        <f>N("Spotify")-IF(AND(DAY($A439)=Budget!$M$3, MONTH($A439)=Budget!$L$3),Budget!$K$3,0)</f>
        <v>0</v>
      </c>
      <c r="R439" s="17">
        <f>N("Spotify")-IF(AND(DAY($A439)=Budget!$M$4, MONTH($A439)=Budget!$L$4),Budget!$K$4,0)</f>
        <v>0</v>
      </c>
      <c r="S439" s="17">
        <f>N("Spotify")-IF(AND(DAY($A439)=Budget!$M$5, MONTH($A439)=Budget!$L$5),Budget!$K$5,0)</f>
        <v>0</v>
      </c>
      <c r="T439" s="17">
        <f>N("Amazon Prime")-IF(DAY(A439)=Budget!$Q$3,Budget!$P$3,0)</f>
        <v>0</v>
      </c>
      <c r="U439" s="17">
        <f>N("Audible")-IF(DAY(A439)=Budget!$Q$12,Budget!$P$12,0)</f>
        <v>0</v>
      </c>
      <c r="V439" s="17">
        <f>N("Crunchyroll")-IF(DAY(A439)=Budget!$Q$5,Budget!$P$5,0)</f>
        <v>0</v>
      </c>
      <c r="W439" s="17">
        <f>N("HBO Max")-IF(DAY(A439)=Budget!$Q$6,Budget!$P$6,0)</f>
        <v>0</v>
      </c>
      <c r="X439" s="17">
        <f>N("Netflix")-IF(DAY(A439)=Budget!$Q$7,Budget!$P$7,0)</f>
        <v>0</v>
      </c>
      <c r="Y439" s="17">
        <f>N("Spotify")-IF(DAY(A439)=Budget!$Q$8,Budget!$P$8,0)</f>
        <v>0</v>
      </c>
      <c r="Z439" s="17">
        <f>N("Truebill")-IF(DAY(A439)=Budget!$Q$9,Budget!$P$9,0)</f>
        <v>0</v>
      </c>
      <c r="AA439" s="6">
        <f t="shared" si="48"/>
        <v>-400</v>
      </c>
    </row>
    <row r="440" spans="1:27" x14ac:dyDescent="0.3">
      <c r="A440" s="4">
        <f t="shared" si="50"/>
        <v>46049</v>
      </c>
      <c r="B440" s="2">
        <f t="shared" si="49"/>
        <v>6066.73</v>
      </c>
      <c r="C440" s="7">
        <f t="shared" si="51"/>
        <v>1</v>
      </c>
      <c r="D440" s="1">
        <v>0</v>
      </c>
      <c r="E440" s="17">
        <f>N("PAY-LM")+IF(WEEKDAY(A440)=Budget!$C$3,Budget!$B$3,0)</f>
        <v>0</v>
      </c>
      <c r="F440" s="17">
        <f>N("Rent")-IF(DAY(A440)=Budget!$G$3,Budget!$F$3,0)</f>
        <v>0</v>
      </c>
      <c r="G440" s="17">
        <f>N("Car")-IF(DAY(A440)=Budget!$G$4,Budget!$F$4+Budget!$H$4,0)</f>
        <v>0</v>
      </c>
      <c r="H440" s="17">
        <f>N("Mom Rent")-IF(DAY(A440)=Budget!$G$5,Budget!$F$5,0)</f>
        <v>0</v>
      </c>
      <c r="I440" s="17">
        <f>N("AT&amp;T")-IF(DAY(A440)=Budget!$G$8,Budget!$F$8,0)</f>
        <v>0</v>
      </c>
      <c r="J440" s="17">
        <f>N("GA Power")-IF(DAY(A440)=Budget!$G$9,Budget!$F$9,0)</f>
        <v>0</v>
      </c>
      <c r="K440" s="17">
        <f>N("Haircut")-IF(DAY(A440)=Budget!$G$10,Budget!$F$10,0)</f>
        <v>0</v>
      </c>
      <c r="L440" s="17">
        <f>N("Groceries")-IF(DAY(A440)=Budget!$G$6,Budget!$F$6,0)</f>
        <v>0</v>
      </c>
      <c r="M440" s="17">
        <f>N("Savings")-IF(DAY(A440)=Budget!$G$7,Budget!$F$7,0)</f>
        <v>0</v>
      </c>
      <c r="N440" s="17">
        <f>N("Car Insurance")-COUNTIF(Budget!$G$14, A440)*Budget!$F$14</f>
        <v>0</v>
      </c>
      <c r="O440" s="17">
        <f>N("Phone Bill")-COUNTIF(Budget!$G$15, A440)*Budget!$F$15</f>
        <v>0</v>
      </c>
      <c r="Q440" s="17">
        <f>N("Spotify")-IF(AND(DAY($A440)=Budget!$M$3, MONTH($A440)=Budget!$L$3),Budget!$K$3,0)</f>
        <v>0</v>
      </c>
      <c r="R440" s="17">
        <f>N("Spotify")-IF(AND(DAY($A440)=Budget!$M$4, MONTH($A440)=Budget!$L$4),Budget!$K$4,0)</f>
        <v>0</v>
      </c>
      <c r="S440" s="17">
        <f>N("Spotify")-IF(AND(DAY($A440)=Budget!$M$5, MONTH($A440)=Budget!$L$5),Budget!$K$5,0)</f>
        <v>0</v>
      </c>
      <c r="T440" s="17">
        <f>N("Amazon Prime")-IF(DAY(A440)=Budget!$Q$3,Budget!$P$3,0)</f>
        <v>0</v>
      </c>
      <c r="U440" s="17">
        <f>N("Audible")-IF(DAY(A440)=Budget!$Q$12,Budget!$P$12,0)</f>
        <v>0</v>
      </c>
      <c r="V440" s="17">
        <f>N("Crunchyroll")-IF(DAY(A440)=Budget!$Q$5,Budget!$P$5,0)</f>
        <v>0</v>
      </c>
      <c r="W440" s="17">
        <f>N("HBO Max")-IF(DAY(A440)=Budget!$Q$6,Budget!$P$6,0)</f>
        <v>0</v>
      </c>
      <c r="X440" s="17">
        <f>N("Netflix")-IF(DAY(A440)=Budget!$Q$7,Budget!$P$7,0)</f>
        <v>0</v>
      </c>
      <c r="Y440" s="17">
        <f>N("Spotify")-IF(DAY(A440)=Budget!$Q$8,Budget!$P$8,0)</f>
        <v>0</v>
      </c>
      <c r="Z440" s="17">
        <f>N("Truebill")-IF(DAY(A440)=Budget!$Q$9,Budget!$P$9,0)</f>
        <v>0</v>
      </c>
      <c r="AA440" s="6">
        <f t="shared" si="48"/>
        <v>0</v>
      </c>
    </row>
    <row r="441" spans="1:27" x14ac:dyDescent="0.3">
      <c r="A441" s="4">
        <f t="shared" si="50"/>
        <v>46050</v>
      </c>
      <c r="B441" s="2">
        <f t="shared" si="49"/>
        <v>4916.7299999999996</v>
      </c>
      <c r="C441" s="7">
        <f t="shared" si="51"/>
        <v>0</v>
      </c>
      <c r="D441" s="1">
        <v>0</v>
      </c>
      <c r="E441" s="17">
        <f>N("PAY-LM")+IF(WEEKDAY(A441)=Budget!$C$3,Budget!$B$3,0)</f>
        <v>0</v>
      </c>
      <c r="F441" s="17">
        <f>N("Rent")-IF(DAY(A441)=Budget!$G$3,Budget!$F$3,0)</f>
        <v>0</v>
      </c>
      <c r="G441" s="17">
        <f>N("Car")-IF(DAY(A441)=Budget!$G$4,Budget!$F$4+Budget!$H$4,0)</f>
        <v>0</v>
      </c>
      <c r="H441" s="17">
        <f>N("Mom Rent")-IF(DAY(A441)=Budget!$G$5,Budget!$F$5,0)</f>
        <v>0</v>
      </c>
      <c r="I441" s="17">
        <f>N("AT&amp;T")-IF(DAY(A441)=Budget!$G$8,Budget!$F$8,0)</f>
        <v>0</v>
      </c>
      <c r="J441" s="17">
        <f>N("GA Power")-IF(DAY(A441)=Budget!$G$9,Budget!$F$9,0)</f>
        <v>0</v>
      </c>
      <c r="K441" s="17">
        <f>N("Haircut")-IF(DAY(A441)=Budget!$G$10,Budget!$F$10,0)</f>
        <v>0</v>
      </c>
      <c r="L441" s="17">
        <f>N("Groceries")-IF(DAY(A441)=Budget!$G$6,Budget!$F$6,0)</f>
        <v>0</v>
      </c>
      <c r="M441" s="17">
        <f>N("Savings")-IF(DAY(A441)=Budget!$G$7,Budget!$F$7,0)</f>
        <v>-1000</v>
      </c>
      <c r="N441" s="17">
        <f>N("Car Insurance")-COUNTIF(Budget!$G$14, A441)*Budget!$F$14</f>
        <v>0</v>
      </c>
      <c r="O441" s="17">
        <f>N("Phone Bill")-COUNTIF(Budget!$G$15, A441)*Budget!$F$15</f>
        <v>0</v>
      </c>
      <c r="Q441" s="17">
        <f>N("Spotify")-IF(AND(DAY($A441)=Budget!$M$3, MONTH($A441)=Budget!$L$3),Budget!$K$3,0)</f>
        <v>0</v>
      </c>
      <c r="R441" s="17">
        <f>N("Spotify")-IF(AND(DAY($A441)=Budget!$M$4, MONTH($A441)=Budget!$L$4),Budget!$K$4,0)</f>
        <v>0</v>
      </c>
      <c r="S441" s="17">
        <f>N("Spotify")-IF(AND(DAY($A441)=Budget!$M$5, MONTH($A441)=Budget!$L$5),Budget!$K$5,0)</f>
        <v>0</v>
      </c>
      <c r="T441" s="17">
        <f>N("Amazon Prime")-IF(DAY(A441)=Budget!$Q$3,Budget!$P$3,0)</f>
        <v>0</v>
      </c>
      <c r="U441" s="17">
        <f>N("Audible")-IF(DAY(A441)=Budget!$Q$12,Budget!$P$12,0)</f>
        <v>0</v>
      </c>
      <c r="V441" s="17">
        <f>N("Crunchyroll")-IF(DAY(A441)=Budget!$Q$5,Budget!$P$5,0)</f>
        <v>0</v>
      </c>
      <c r="W441" s="17">
        <f>N("HBO Max")-IF(DAY(A441)=Budget!$Q$6,Budget!$P$6,0)</f>
        <v>0</v>
      </c>
      <c r="X441" s="17">
        <f>N("Netflix")-IF(DAY(A441)=Budget!$Q$7,Budget!$P$7,0)</f>
        <v>0</v>
      </c>
      <c r="Y441" s="17">
        <f>N("Spotify")-IF(DAY(A441)=Budget!$Q$8,Budget!$P$8,0)</f>
        <v>-150</v>
      </c>
      <c r="Z441" s="17">
        <f>N("Truebill")-IF(DAY(A441)=Budget!$Q$9,Budget!$P$9,0)</f>
        <v>0</v>
      </c>
      <c r="AA441" s="6">
        <f t="shared" si="48"/>
        <v>-1150</v>
      </c>
    </row>
    <row r="442" spans="1:27" x14ac:dyDescent="0.3">
      <c r="A442" s="4">
        <f t="shared" si="50"/>
        <v>46051</v>
      </c>
      <c r="B442" s="2">
        <f t="shared" si="49"/>
        <v>4892.1299999999992</v>
      </c>
      <c r="C442" s="7">
        <f>IF(B442&gt;B441,2,IF(B442=B441, 1,0))</f>
        <v>0</v>
      </c>
      <c r="D442" s="1">
        <v>0</v>
      </c>
      <c r="E442" s="17">
        <f>N("PAY-LM")+IF(WEEKDAY(A442)=Budget!$C$3,Budget!$B$3,0)</f>
        <v>0</v>
      </c>
      <c r="F442" s="17">
        <f>N("Rent")-IF(DAY(A442)=Budget!$G$3,Budget!$F$3,0)</f>
        <v>0</v>
      </c>
      <c r="G442" s="17">
        <f>N("Car")-IF(DAY(A442)=Budget!$G$4,Budget!$F$4+Budget!$H$4,0)</f>
        <v>0</v>
      </c>
      <c r="H442" s="17">
        <f>N("Mom Rent")-IF(DAY(A442)=Budget!$G$5,Budget!$F$5,0)</f>
        <v>0</v>
      </c>
      <c r="I442" s="17">
        <f>N("AT&amp;T")-IF(DAY(A442)=Budget!$G$8,Budget!$F$8,0)</f>
        <v>0</v>
      </c>
      <c r="J442" s="17">
        <f>N("GA Power")-IF(DAY(A442)=Budget!$G$9,Budget!$F$9,0)</f>
        <v>0</v>
      </c>
      <c r="K442" s="17">
        <f>N("Haircut")-IF(DAY(A442)=Budget!$G$10,Budget!$F$10,0)</f>
        <v>0</v>
      </c>
      <c r="L442" s="17">
        <f>N("Groceries")-IF(DAY(A442)=Budget!$G$6,Budget!$F$6,0)</f>
        <v>0</v>
      </c>
      <c r="M442" s="17">
        <f>N("Savings")-IF(DAY(A442)=Budget!$G$7,Budget!$F$7,0)</f>
        <v>0</v>
      </c>
      <c r="N442" s="17">
        <f>N("Car Insurance")-COUNTIF(Budget!$G$14, A442)*Budget!$F$14</f>
        <v>0</v>
      </c>
      <c r="O442" s="17">
        <f>N("Phone Bill")-COUNTIF(Budget!$G$15, A442)*Budget!$F$15</f>
        <v>0</v>
      </c>
      <c r="Q442" s="17">
        <f>N("Spotify")-IF(AND(DAY($A442)=Budget!$M$3, MONTH($A442)=Budget!$L$3),Budget!$K$3,0)</f>
        <v>0</v>
      </c>
      <c r="R442" s="17">
        <f>N("Spotify")-IF(AND(DAY($A442)=Budget!$M$4, MONTH($A442)=Budget!$L$4),Budget!$K$4,0)</f>
        <v>0</v>
      </c>
      <c r="S442" s="17">
        <f>N("Spotify")-IF(AND(DAY($A442)=Budget!$M$5, MONTH($A442)=Budget!$L$5),Budget!$K$5,0)</f>
        <v>0</v>
      </c>
      <c r="T442" s="17">
        <f>N("Amazon Prime")-IF(DAY(A442)=Budget!$Q$3,Budget!$P$3,0)</f>
        <v>0</v>
      </c>
      <c r="U442" s="17">
        <f>N("Audible")-IF(DAY(A442)=Budget!$Q$12,Budget!$P$12,0)</f>
        <v>0</v>
      </c>
      <c r="V442" s="17">
        <f>N("Crunchyroll")-IF(DAY(A442)=Budget!$Q$5,Budget!$P$5,0)</f>
        <v>-24.6</v>
      </c>
      <c r="W442" s="17">
        <f>N("HBO Max")-IF(DAY(A442)=Budget!$Q$6,Budget!$P$6,0)</f>
        <v>0</v>
      </c>
      <c r="X442" s="17">
        <f>N("Netflix")-IF(DAY(A442)=Budget!$Q$7,Budget!$P$7,0)</f>
        <v>0</v>
      </c>
      <c r="Y442" s="17">
        <f>N("Spotify")-IF(DAY(A442)=Budget!$Q$8,Budget!$P$8,0)</f>
        <v>0</v>
      </c>
      <c r="Z442" s="17">
        <f>N("Truebill")-IF(DAY(A442)=Budget!$Q$9,Budget!$P$9,0)</f>
        <v>0</v>
      </c>
      <c r="AA442" s="6">
        <f t="shared" si="48"/>
        <v>-24.6</v>
      </c>
    </row>
    <row r="443" spans="1:27" x14ac:dyDescent="0.3">
      <c r="A443" s="4">
        <f t="shared" si="50"/>
        <v>46052</v>
      </c>
      <c r="B443" s="2">
        <f t="shared" si="49"/>
        <v>6345.1299999999992</v>
      </c>
      <c r="C443" s="7">
        <f>IF(B443&gt;B442,2,IF(B443=B442, 1,0))</f>
        <v>2</v>
      </c>
      <c r="D443" s="1">
        <v>0</v>
      </c>
      <c r="E443" s="17">
        <f>N("PAY-LM")+IF(WEEKDAY(A443)=Budget!$C$3,Budget!$B$3,0)</f>
        <v>1453</v>
      </c>
      <c r="F443" s="17">
        <f>N("Rent")-IF(DAY(A443)=Budget!$G$3,Budget!$F$3,0)</f>
        <v>0</v>
      </c>
      <c r="G443" s="17">
        <f>N("Car")-IF(DAY(A443)=Budget!$G$4,Budget!$F$4+Budget!$H$4,0)</f>
        <v>0</v>
      </c>
      <c r="H443" s="17">
        <f>N("Mom Rent")-IF(DAY(A443)=Budget!$G$5,Budget!$F$5,0)</f>
        <v>0</v>
      </c>
      <c r="I443" s="17">
        <f>N("AT&amp;T")-IF(DAY(A443)=Budget!$G$8,Budget!$F$8,0)</f>
        <v>0</v>
      </c>
      <c r="J443" s="17">
        <f>N("GA Power")-IF(DAY(A443)=Budget!$G$9,Budget!$F$9,0)</f>
        <v>0</v>
      </c>
      <c r="K443" s="17">
        <f>N("Haircut")-IF(DAY(A443)=Budget!$G$10,Budget!$F$10,0)</f>
        <v>0</v>
      </c>
      <c r="L443" s="17">
        <f>N("Groceries")-IF(DAY(A443)=Budget!$G$6,Budget!$F$6,0)</f>
        <v>0</v>
      </c>
      <c r="M443" s="17">
        <f>N("Savings")-IF(DAY(A443)=Budget!$G$7,Budget!$F$7,0)</f>
        <v>0</v>
      </c>
      <c r="N443" s="17">
        <f>N("Car Insurance")-COUNTIF(Budget!$G$14, A443)*Budget!$F$14</f>
        <v>0</v>
      </c>
      <c r="O443" s="17">
        <f>N("Phone Bill")-COUNTIF(Budget!$G$15, A443)*Budget!$F$15</f>
        <v>0</v>
      </c>
      <c r="Q443" s="17">
        <f>N("Spotify")-IF(AND(DAY($A443)=Budget!$M$3, MONTH($A443)=Budget!$L$3),Budget!$K$3,0)</f>
        <v>0</v>
      </c>
      <c r="R443" s="17">
        <f>N("Spotify")-IF(AND(DAY($A443)=Budget!$M$4, MONTH($A443)=Budget!$L$4),Budget!$K$4,0)</f>
        <v>0</v>
      </c>
      <c r="S443" s="17">
        <f>N("Spotify")-IF(AND(DAY($A443)=Budget!$M$5, MONTH($A443)=Budget!$L$5),Budget!$K$5,0)</f>
        <v>0</v>
      </c>
      <c r="T443" s="17">
        <f>N("Amazon Prime")-IF(DAY(A443)=Budget!$Q$3,Budget!$P$3,0)</f>
        <v>0</v>
      </c>
      <c r="U443" s="17">
        <f>N("Audible")-IF(DAY(A443)=Budget!$Q$12,Budget!$P$12,0)</f>
        <v>0</v>
      </c>
      <c r="V443" s="17">
        <f>N("Crunchyroll")-IF(DAY(A443)=Budget!$Q$5,Budget!$P$5,0)</f>
        <v>0</v>
      </c>
      <c r="W443" s="17">
        <f>N("HBO Max")-IF(DAY(A443)=Budget!$Q$6,Budget!$P$6,0)</f>
        <v>0</v>
      </c>
      <c r="X443" s="17">
        <f>N("Netflix")-IF(DAY(A443)=Budget!$Q$7,Budget!$P$7,0)</f>
        <v>0</v>
      </c>
      <c r="Y443" s="17">
        <f>N("Spotify")-IF(DAY(A443)=Budget!$Q$8,Budget!$P$8,0)</f>
        <v>0</v>
      </c>
      <c r="Z443" s="17">
        <f>N("Truebill")-IF(DAY(A443)=Budget!$Q$9,Budget!$P$9,0)</f>
        <v>0</v>
      </c>
      <c r="AA443" s="6">
        <f t="shared" si="48"/>
        <v>1453</v>
      </c>
    </row>
  </sheetData>
  <mergeCells count="78">
    <mergeCell ref="Q1:S1"/>
    <mergeCell ref="Q35:S35"/>
    <mergeCell ref="Q67:S67"/>
    <mergeCell ref="Q102:S102"/>
    <mergeCell ref="Q136:S136"/>
    <mergeCell ref="E1:M1"/>
    <mergeCell ref="E102:M102"/>
    <mergeCell ref="D102:D103"/>
    <mergeCell ref="A103:B103"/>
    <mergeCell ref="D1:D2"/>
    <mergeCell ref="A2:B2"/>
    <mergeCell ref="D35:D36"/>
    <mergeCell ref="A36:B36"/>
    <mergeCell ref="D67:D68"/>
    <mergeCell ref="A68:B68"/>
    <mergeCell ref="E35:M35"/>
    <mergeCell ref="D136:D137"/>
    <mergeCell ref="A137:B137"/>
    <mergeCell ref="D171:D172"/>
    <mergeCell ref="A172:B172"/>
    <mergeCell ref="E171:M171"/>
    <mergeCell ref="N1:O1"/>
    <mergeCell ref="T1:Z1"/>
    <mergeCell ref="D378:D379"/>
    <mergeCell ref="A379:B379"/>
    <mergeCell ref="D275:D276"/>
    <mergeCell ref="A276:B276"/>
    <mergeCell ref="D309:D310"/>
    <mergeCell ref="A310:B310"/>
    <mergeCell ref="D344:D345"/>
    <mergeCell ref="A345:B345"/>
    <mergeCell ref="E309:M309"/>
    <mergeCell ref="E378:M378"/>
    <mergeCell ref="D205:D206"/>
    <mergeCell ref="A206:B206"/>
    <mergeCell ref="D240:D241"/>
    <mergeCell ref="A241:B241"/>
    <mergeCell ref="N35:O35"/>
    <mergeCell ref="T35:Z35"/>
    <mergeCell ref="E67:M67"/>
    <mergeCell ref="N67:O67"/>
    <mergeCell ref="T67:Z67"/>
    <mergeCell ref="N102:O102"/>
    <mergeCell ref="T102:Z102"/>
    <mergeCell ref="E136:M136"/>
    <mergeCell ref="N136:O136"/>
    <mergeCell ref="T136:Z136"/>
    <mergeCell ref="N171:O171"/>
    <mergeCell ref="T171:Z171"/>
    <mergeCell ref="E205:M205"/>
    <mergeCell ref="N205:O205"/>
    <mergeCell ref="T205:Z205"/>
    <mergeCell ref="Q171:S171"/>
    <mergeCell ref="Q205:S205"/>
    <mergeCell ref="N240:O240"/>
    <mergeCell ref="T240:Z240"/>
    <mergeCell ref="E275:M275"/>
    <mergeCell ref="N275:O275"/>
    <mergeCell ref="T275:Z275"/>
    <mergeCell ref="E240:M240"/>
    <mergeCell ref="Q240:S240"/>
    <mergeCell ref="Q275:S275"/>
    <mergeCell ref="E344:M344"/>
    <mergeCell ref="N344:O344"/>
    <mergeCell ref="T344:Z344"/>
    <mergeCell ref="Q309:S309"/>
    <mergeCell ref="Q344:S344"/>
    <mergeCell ref="T412:Z412"/>
    <mergeCell ref="N378:O378"/>
    <mergeCell ref="T378:Z378"/>
    <mergeCell ref="N309:O309"/>
    <mergeCell ref="T309:Z309"/>
    <mergeCell ref="Q378:S378"/>
    <mergeCell ref="A413:B413"/>
    <mergeCell ref="D412:D413"/>
    <mergeCell ref="E412:M412"/>
    <mergeCell ref="N412:O412"/>
    <mergeCell ref="Q412:S412"/>
  </mergeCells>
  <conditionalFormatting sqref="A3:A33 A37:A64">
    <cfRule type="cellIs" dxfId="61" priority="99" operator="equal">
      <formula>TODAY()</formula>
    </cfRule>
  </conditionalFormatting>
  <conditionalFormatting sqref="A69:A99">
    <cfRule type="cellIs" dxfId="60" priority="83" operator="equal">
      <formula>TODAY()</formula>
    </cfRule>
  </conditionalFormatting>
  <conditionalFormatting sqref="A104:A133">
    <cfRule type="cellIs" dxfId="59" priority="79" operator="equal">
      <formula>TODAY()</formula>
    </cfRule>
  </conditionalFormatting>
  <conditionalFormatting sqref="A138:A168">
    <cfRule type="cellIs" dxfId="58" priority="66" operator="equal">
      <formula>TODAY()</formula>
    </cfRule>
  </conditionalFormatting>
  <conditionalFormatting sqref="A173:A202">
    <cfRule type="cellIs" dxfId="57" priority="63" operator="equal">
      <formula>TODAY()</formula>
    </cfRule>
  </conditionalFormatting>
  <conditionalFormatting sqref="A207:A237">
    <cfRule type="cellIs" dxfId="56" priority="50" operator="equal">
      <formula>TODAY()</formula>
    </cfRule>
  </conditionalFormatting>
  <conditionalFormatting sqref="A242:A272">
    <cfRule type="cellIs" dxfId="55" priority="47" operator="equal">
      <formula>TODAY()</formula>
    </cfRule>
  </conditionalFormatting>
  <conditionalFormatting sqref="A277:A306">
    <cfRule type="cellIs" dxfId="54" priority="35" operator="equal">
      <formula>TODAY()</formula>
    </cfRule>
  </conditionalFormatting>
  <conditionalFormatting sqref="A311:A341">
    <cfRule type="cellIs" dxfId="53" priority="27" operator="equal">
      <formula>TODAY()</formula>
    </cfRule>
  </conditionalFormatting>
  <conditionalFormatting sqref="A346:A375">
    <cfRule type="cellIs" dxfId="52" priority="19" operator="equal">
      <formula>TODAY()</formula>
    </cfRule>
  </conditionalFormatting>
  <conditionalFormatting sqref="A380:A410">
    <cfRule type="cellIs" dxfId="51" priority="11" operator="equal">
      <formula>TODAY()</formula>
    </cfRule>
  </conditionalFormatting>
  <conditionalFormatting sqref="A414:A443">
    <cfRule type="cellIs" dxfId="50" priority="3" operator="equal">
      <formula>TODAY()</formula>
    </cfRule>
  </conditionalFormatting>
  <conditionalFormatting sqref="AA3:AA33 AA37:AA64">
    <cfRule type="cellIs" dxfId="49" priority="101" operator="greaterThan">
      <formula>0</formula>
    </cfRule>
    <cfRule type="cellIs" dxfId="48" priority="102" operator="lessThan">
      <formula>0</formula>
    </cfRule>
  </conditionalFormatting>
  <conditionalFormatting sqref="AA69:AA99">
    <cfRule type="cellIs" dxfId="47" priority="85" operator="greaterThan">
      <formula>0</formula>
    </cfRule>
    <cfRule type="cellIs" dxfId="46" priority="86" operator="lessThan">
      <formula>0</formula>
    </cfRule>
  </conditionalFormatting>
  <conditionalFormatting sqref="AA104:AA133">
    <cfRule type="cellIs" dxfId="45" priority="81" operator="greaterThan">
      <formula>0</formula>
    </cfRule>
    <cfRule type="cellIs" dxfId="44" priority="82" operator="lessThan">
      <formula>0</formula>
    </cfRule>
  </conditionalFormatting>
  <conditionalFormatting sqref="AA138:AA168">
    <cfRule type="cellIs" dxfId="43" priority="67" operator="greaterThan">
      <formula>0</formula>
    </cfRule>
    <cfRule type="cellIs" dxfId="42" priority="68" operator="lessThan">
      <formula>0</formula>
    </cfRule>
  </conditionalFormatting>
  <conditionalFormatting sqref="AA173:AA202">
    <cfRule type="cellIs" dxfId="41" priority="64" operator="greaterThan">
      <formula>0</formula>
    </cfRule>
    <cfRule type="cellIs" dxfId="40" priority="65" operator="lessThan">
      <formula>0</formula>
    </cfRule>
  </conditionalFormatting>
  <conditionalFormatting sqref="AA207:AA237">
    <cfRule type="cellIs" dxfId="39" priority="51" operator="greaterThan">
      <formula>0</formula>
    </cfRule>
    <cfRule type="cellIs" dxfId="38" priority="52" operator="lessThan">
      <formula>0</formula>
    </cfRule>
  </conditionalFormatting>
  <conditionalFormatting sqref="AA242:AA272">
    <cfRule type="cellIs" dxfId="37" priority="48" operator="greaterThan">
      <formula>0</formula>
    </cfRule>
    <cfRule type="cellIs" dxfId="36" priority="49" operator="lessThan">
      <formula>0</formula>
    </cfRule>
  </conditionalFormatting>
  <conditionalFormatting sqref="AA277:AA306">
    <cfRule type="cellIs" dxfId="35" priority="37" operator="lessThan">
      <formula>0</formula>
    </cfRule>
    <cfRule type="cellIs" dxfId="34" priority="36" operator="greaterThan">
      <formula>0</formula>
    </cfRule>
  </conditionalFormatting>
  <conditionalFormatting sqref="AA311:AA341">
    <cfRule type="cellIs" dxfId="33" priority="29" operator="lessThan">
      <formula>0</formula>
    </cfRule>
    <cfRule type="cellIs" dxfId="32" priority="28" operator="greaterThan">
      <formula>0</formula>
    </cfRule>
  </conditionalFormatting>
  <conditionalFormatting sqref="AA346:AA375">
    <cfRule type="cellIs" dxfId="31" priority="21" operator="lessThan">
      <formula>0</formula>
    </cfRule>
    <cfRule type="cellIs" dxfId="30" priority="20" operator="greaterThan">
      <formula>0</formula>
    </cfRule>
  </conditionalFormatting>
  <conditionalFormatting sqref="AA380:AA410">
    <cfRule type="cellIs" dxfId="29" priority="13" operator="lessThan">
      <formula>0</formula>
    </cfRule>
    <cfRule type="cellIs" dxfId="28" priority="12" operator="greaterThan">
      <formula>0</formula>
    </cfRule>
  </conditionalFormatting>
  <conditionalFormatting sqref="AA414:AA443">
    <cfRule type="cellIs" dxfId="27" priority="4" operator="greaterThan">
      <formula>0</formula>
    </cfRule>
    <cfRule type="cellIs" dxfId="26" priority="5" operator="lessThan">
      <formula>0</formula>
    </cfRule>
  </conditionalFormatting>
  <conditionalFormatting sqref="AC1:AD1">
    <cfRule type="cellIs" dxfId="25" priority="92" operator="lessThan">
      <formula>0</formula>
    </cfRule>
    <cfRule type="cellIs" dxfId="24" priority="91" operator="greaterThan">
      <formula>0</formula>
    </cfRule>
  </conditionalFormatting>
  <conditionalFormatting sqref="AC35:AD35">
    <cfRule type="cellIs" dxfId="23" priority="87" operator="greaterThan">
      <formula>0</formula>
    </cfRule>
    <cfRule type="cellIs" dxfId="22" priority="88" operator="lessThan">
      <formula>0</formula>
    </cfRule>
  </conditionalFormatting>
  <conditionalFormatting sqref="AC67:AD67">
    <cfRule type="cellIs" dxfId="21" priority="75" operator="greaterThan">
      <formula>0</formula>
    </cfRule>
    <cfRule type="cellIs" dxfId="20" priority="76" operator="lessThan">
      <formula>0</formula>
    </cfRule>
  </conditionalFormatting>
  <conditionalFormatting sqref="AC102:AD102">
    <cfRule type="cellIs" dxfId="19" priority="71" operator="greaterThan">
      <formula>0</formula>
    </cfRule>
    <cfRule type="cellIs" dxfId="18" priority="72" operator="lessThan">
      <formula>0</formula>
    </cfRule>
  </conditionalFormatting>
  <conditionalFormatting sqref="AC136:AD136">
    <cfRule type="cellIs" dxfId="17" priority="59" operator="greaterThan">
      <formula>0</formula>
    </cfRule>
    <cfRule type="cellIs" dxfId="16" priority="60" operator="lessThan">
      <formula>0</formula>
    </cfRule>
  </conditionalFormatting>
  <conditionalFormatting sqref="AC171:AD171">
    <cfRule type="cellIs" dxfId="15" priority="55" operator="greaterThan">
      <formula>0</formula>
    </cfRule>
    <cfRule type="cellIs" dxfId="14" priority="56" operator="lessThan">
      <formula>0</formula>
    </cfRule>
  </conditionalFormatting>
  <conditionalFormatting sqref="AC205:AD205">
    <cfRule type="cellIs" dxfId="13" priority="44" operator="lessThan">
      <formula>0</formula>
    </cfRule>
    <cfRule type="cellIs" dxfId="12" priority="43" operator="greaterThan">
      <formula>0</formula>
    </cfRule>
  </conditionalFormatting>
  <conditionalFormatting sqref="AC240:AD240">
    <cfRule type="cellIs" dxfId="11" priority="40" operator="lessThan">
      <formula>0</formula>
    </cfRule>
    <cfRule type="cellIs" dxfId="10" priority="39" operator="greaterThan">
      <formula>0</formula>
    </cfRule>
  </conditionalFormatting>
  <conditionalFormatting sqref="AC275:AD275">
    <cfRule type="cellIs" dxfId="9" priority="32" operator="lessThan">
      <formula>0</formula>
    </cfRule>
    <cfRule type="cellIs" dxfId="8" priority="31" operator="greaterThan">
      <formula>0</formula>
    </cfRule>
  </conditionalFormatting>
  <conditionalFormatting sqref="AC309:AD309">
    <cfRule type="cellIs" dxfId="7" priority="23" operator="greaterThan">
      <formula>0</formula>
    </cfRule>
    <cfRule type="cellIs" dxfId="6" priority="24" operator="lessThan">
      <formula>0</formula>
    </cfRule>
  </conditionalFormatting>
  <conditionalFormatting sqref="AC344:AD344">
    <cfRule type="cellIs" dxfId="5" priority="15" operator="greaterThan">
      <formula>0</formula>
    </cfRule>
    <cfRule type="cellIs" dxfId="4" priority="16" operator="lessThan">
      <formula>0</formula>
    </cfRule>
  </conditionalFormatting>
  <conditionalFormatting sqref="AC378:AD378">
    <cfRule type="cellIs" dxfId="3" priority="8" operator="lessThan">
      <formula>0</formula>
    </cfRule>
    <cfRule type="cellIs" dxfId="2" priority="7" operator="greaterThan">
      <formula>0</formula>
    </cfRule>
  </conditionalFormatting>
  <conditionalFormatting sqref="AC412:AD412">
    <cfRule type="cellIs" dxfId="1" priority="2" operator="lessThan">
      <formula>0</formula>
    </cfRule>
    <cfRule type="cellIs" dxfId="0" priority="1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1" id="{A3F76A9F-AF40-4DAE-8C51-7959B2B6B1DC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C3:C33</xm:sqref>
        </x14:conditionalFormatting>
        <x14:conditionalFormatting xmlns:xm="http://schemas.microsoft.com/office/excel/2006/main">
          <x14:cfRule type="iconSet" priority="209" id="{5A4C5561-3033-4396-B623-5A4AA23DDB0F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C37:C64</xm:sqref>
        </x14:conditionalFormatting>
        <x14:conditionalFormatting xmlns:xm="http://schemas.microsoft.com/office/excel/2006/main">
          <x14:cfRule type="iconSet" priority="210" id="{2A3C0673-2D39-46C3-8073-A2C62A304735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C69:C99</xm:sqref>
        </x14:conditionalFormatting>
        <x14:conditionalFormatting xmlns:xm="http://schemas.microsoft.com/office/excel/2006/main">
          <x14:cfRule type="iconSet" priority="211" id="{D1A93E9B-1D48-41E2-B06D-B46237D8E4ED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C104:C133</xm:sqref>
        </x14:conditionalFormatting>
        <x14:conditionalFormatting xmlns:xm="http://schemas.microsoft.com/office/excel/2006/main">
          <x14:cfRule type="iconSet" priority="69" id="{D164C8C6-B8E4-4449-AC94-53813A37EBBB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C138:C168</xm:sqref>
        </x14:conditionalFormatting>
        <x14:conditionalFormatting xmlns:xm="http://schemas.microsoft.com/office/excel/2006/main">
          <x14:cfRule type="iconSet" priority="70" id="{3CDA2118-CF0B-4FC8-847F-D6C626584F38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C173:C202</xm:sqref>
        </x14:conditionalFormatting>
        <x14:conditionalFormatting xmlns:xm="http://schemas.microsoft.com/office/excel/2006/main">
          <x14:cfRule type="iconSet" priority="53" id="{3070403F-DE9C-40B9-945D-D5D18C731BC4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C207:C237</xm:sqref>
        </x14:conditionalFormatting>
        <x14:conditionalFormatting xmlns:xm="http://schemas.microsoft.com/office/excel/2006/main">
          <x14:cfRule type="iconSet" priority="54" id="{10D88FBF-87EC-4AD6-9ACE-7C47847D18DC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C242:C272</xm:sqref>
        </x14:conditionalFormatting>
        <x14:conditionalFormatting xmlns:xm="http://schemas.microsoft.com/office/excel/2006/main">
          <x14:cfRule type="iconSet" priority="212" id="{AB4AD546-7C9F-4059-92BC-6EF4C12AD9FF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C277:C306</xm:sqref>
        </x14:conditionalFormatting>
        <x14:conditionalFormatting xmlns:xm="http://schemas.microsoft.com/office/excel/2006/main">
          <x14:cfRule type="iconSet" priority="30" id="{650CDF55-D6C2-42BF-9DB7-79C72C4BC44E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C311:C341</xm:sqref>
        </x14:conditionalFormatting>
        <x14:conditionalFormatting xmlns:xm="http://schemas.microsoft.com/office/excel/2006/main">
          <x14:cfRule type="iconSet" priority="22" id="{BF37329B-B8E2-42EB-A79A-5AD881770260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C346:C375</xm:sqref>
        </x14:conditionalFormatting>
        <x14:conditionalFormatting xmlns:xm="http://schemas.microsoft.com/office/excel/2006/main">
          <x14:cfRule type="iconSet" priority="14" id="{56859BA3-336F-4DFB-8486-57CC21F14608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C380:C410</xm:sqref>
        </x14:conditionalFormatting>
        <x14:conditionalFormatting xmlns:xm="http://schemas.microsoft.com/office/excel/2006/main">
          <x14:cfRule type="iconSet" priority="6" id="{1DA050C9-6E78-4B82-A954-616E6ED1E5F8}">
            <x14:iconSet iconSet="3Triangle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C414:C443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00091-BCAE-480B-9536-030E027E6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Detailed Monthy 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Augustus, Lamoye (US)</dc:creator>
  <cp:keywords>Unrestricted</cp:keywords>
  <cp:lastModifiedBy>Office</cp:lastModifiedBy>
  <dcterms:created xsi:type="dcterms:W3CDTF">2023-12-18T14:25:23Z</dcterms:created>
  <dcterms:modified xsi:type="dcterms:W3CDTF">2026-01-06T17:58:56Z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Enabled">
    <vt:lpwstr>true</vt:lpwstr>
  </property>
  <property fmtid="{D5CDD505-2E9C-101B-9397-08002B2CF9AE}" pid="3" name="MSIP_Label_502bc7c3-f152-4da1-98bd-f7a1bebdf752_SetDate">
    <vt:lpwstr>2023-12-18T16:31:21Z</vt:lpwstr>
  </property>
  <property fmtid="{D5CDD505-2E9C-101B-9397-08002B2CF9AE}" pid="4" name="MSIP_Label_502bc7c3-f152-4da1-98bd-f7a1bebdf752_Method">
    <vt:lpwstr>Privileged</vt:lpwstr>
  </property>
  <property fmtid="{D5CDD505-2E9C-101B-9397-08002B2CF9AE}" pid="5" name="MSIP_Label_502bc7c3-f152-4da1-98bd-f7a1bebdf752_Name">
    <vt:lpwstr>Unrestricted</vt:lpwstr>
  </property>
  <property fmtid="{D5CDD505-2E9C-101B-9397-08002B2CF9AE}" pid="6" name="MSIP_Label_502bc7c3-f152-4da1-98bd-f7a1bebdf752_SiteId">
    <vt:lpwstr>b18f006c-b0fc-467d-b23a-a35b5695b5dc</vt:lpwstr>
  </property>
  <property fmtid="{D5CDD505-2E9C-101B-9397-08002B2CF9AE}" pid="7" name="MSIP_Label_502bc7c3-f152-4da1-98bd-f7a1bebdf752_ActionId">
    <vt:lpwstr>84395c89-f0ab-450c-9509-c3fa0dfceaa9</vt:lpwstr>
  </property>
  <property fmtid="{D5CDD505-2E9C-101B-9397-08002B2CF9AE}" pid="8" name="MSIP_Label_502bc7c3-f152-4da1-98bd-f7a1bebdf752_ContentBits">
    <vt:lpwstr>0</vt:lpwstr>
  </property>
  <property fmtid="{D5CDD505-2E9C-101B-9397-08002B2CF9AE}" pid="9" name="LM SIP Document Sensitivity">
    <vt:lpwstr/>
  </property>
  <property fmtid="{D5CDD505-2E9C-101B-9397-08002B2CF9AE}" pid="10" name="Document Author">
    <vt:lpwstr>US\e449970</vt:lpwstr>
  </property>
  <property fmtid="{D5CDD505-2E9C-101B-9397-08002B2CF9AE}" pid="11" name="Document Sensitivity">
    <vt:lpwstr>1</vt:lpwstr>
  </property>
  <property fmtid="{D5CDD505-2E9C-101B-9397-08002B2CF9AE}" pid="12" name="ThirdParty">
    <vt:lpwstr/>
  </property>
  <property fmtid="{D5CDD505-2E9C-101B-9397-08002B2CF9AE}" pid="13" name="OCI Restriction">
    <vt:bool>false</vt:bool>
  </property>
  <property fmtid="{D5CDD505-2E9C-101B-9397-08002B2CF9AE}" pid="14" name="OCI Additional Info">
    <vt:lpwstr/>
  </property>
  <property fmtid="{D5CDD505-2E9C-101B-9397-08002B2CF9AE}" pid="15" name="Allow Header Overwrite">
    <vt:bool>true</vt:bool>
  </property>
  <property fmtid="{D5CDD505-2E9C-101B-9397-08002B2CF9AE}" pid="16" name="Allow Footer Overwrite">
    <vt:bool>true</vt:bool>
  </property>
  <property fmtid="{D5CDD505-2E9C-101B-9397-08002B2CF9AE}" pid="17" name="Multiple Selected">
    <vt:lpwstr>-1</vt:lpwstr>
  </property>
  <property fmtid="{D5CDD505-2E9C-101B-9397-08002B2CF9AE}" pid="18" name="SIPLongWording">
    <vt:lpwstr>_x000d_
_x000d_
</vt:lpwstr>
  </property>
  <property fmtid="{D5CDD505-2E9C-101B-9397-08002B2CF9AE}" pid="19" name="ExpCountry">
    <vt:lpwstr/>
  </property>
  <property fmtid="{D5CDD505-2E9C-101B-9397-08002B2CF9AE}" pid="20" name="SecurityClassification">
    <vt:lpwstr/>
  </property>
  <property fmtid="{D5CDD505-2E9C-101B-9397-08002B2CF9AE}" pid="21" name="TextBoxAndDropdownValues">
    <vt:lpwstr/>
  </property>
</Properties>
</file>